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bruiker\Documents\"/>
    </mc:Choice>
  </mc:AlternateContent>
  <bookViews>
    <workbookView xWindow="0" yWindow="0" windowWidth="24000" windowHeight="9510"/>
  </bookViews>
  <sheets>
    <sheet name="BS" sheetId="1" r:id="rId1"/>
    <sheet name="Graphic" sheetId="2" r:id="rId2"/>
  </sheets>
  <functionGroups builtInGroupCount="19"/>
  <externalReferences>
    <externalReference r:id="rId3"/>
    <externalReference r:id="rId4"/>
  </externalReferences>
  <definedNames>
    <definedName name="b">#REF!</definedName>
    <definedName name="Kurt">#REF!</definedName>
    <definedName name="n">#REF!</definedName>
    <definedName name="PartialBarrier">[2]!PartialBarrier</definedName>
    <definedName name="r_">#REF!</definedName>
    <definedName name="S">#REF!</definedName>
    <definedName name="Skew">#REF!</definedName>
    <definedName name="T">#REF!</definedName>
    <definedName name="Today">#REF!</definedName>
    <definedName name="v">#REF!</definedName>
    <definedName name="X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80" i="2" l="1"/>
  <c r="AQ79" i="2" s="1"/>
  <c r="AQ78" i="2" s="1"/>
  <c r="AQ77" i="2" s="1"/>
  <c r="AQ76" i="2" s="1"/>
  <c r="AQ75" i="2" s="1"/>
  <c r="AQ74" i="2" s="1"/>
  <c r="AQ73" i="2" s="1"/>
  <c r="AQ72" i="2" s="1"/>
  <c r="AQ71" i="2" s="1"/>
  <c r="AQ70" i="2" s="1"/>
  <c r="AQ69" i="2" s="1"/>
  <c r="AQ68" i="2" s="1"/>
  <c r="AQ67" i="2" s="1"/>
  <c r="AQ66" i="2" s="1"/>
  <c r="AQ65" i="2" s="1"/>
  <c r="AQ64" i="2" s="1"/>
  <c r="AQ63" i="2" s="1"/>
  <c r="AQ62" i="2" s="1"/>
  <c r="AQ61" i="2" s="1"/>
  <c r="AQ60" i="2" s="1"/>
  <c r="AQ59" i="2" s="1"/>
  <c r="AQ58" i="2" s="1"/>
  <c r="AQ57" i="2" s="1"/>
  <c r="AQ56" i="2" s="1"/>
  <c r="AQ55" i="2" s="1"/>
  <c r="AQ54" i="2" s="1"/>
  <c r="AQ53" i="2" s="1"/>
  <c r="AQ52" i="2" s="1"/>
  <c r="AQ51" i="2" s="1"/>
  <c r="AQ50" i="2" s="1"/>
  <c r="AQ49" i="2" s="1"/>
  <c r="AQ48" i="2" s="1"/>
  <c r="AQ47" i="2" s="1"/>
  <c r="AQ46" i="2" s="1"/>
  <c r="AQ45" i="2" s="1"/>
  <c r="AQ44" i="2" s="1"/>
  <c r="AQ43" i="2" s="1"/>
  <c r="AQ42" i="2" s="1"/>
  <c r="AQ41" i="2" s="1"/>
  <c r="AQ40" i="2" s="1"/>
  <c r="U65" i="2"/>
  <c r="V65" i="2" s="1"/>
  <c r="W65" i="2" s="1"/>
  <c r="X65" i="2" s="1"/>
  <c r="Y65" i="2" s="1"/>
  <c r="Z65" i="2" s="1"/>
  <c r="AA65" i="2" s="1"/>
  <c r="AB65" i="2" s="1"/>
  <c r="AC65" i="2" s="1"/>
  <c r="AD65" i="2" s="1"/>
  <c r="AE65" i="2" s="1"/>
  <c r="AF65" i="2" s="1"/>
  <c r="AG65" i="2" s="1"/>
  <c r="AH65" i="2" s="1"/>
  <c r="AI65" i="2" s="1"/>
  <c r="AJ65" i="2" s="1"/>
  <c r="AK65" i="2" s="1"/>
  <c r="AL65" i="2" s="1"/>
  <c r="AM65" i="2" s="1"/>
  <c r="AN65" i="2" s="1"/>
  <c r="AO65" i="2" s="1"/>
  <c r="T60" i="2"/>
  <c r="T86" i="2" s="1"/>
  <c r="T59" i="2"/>
  <c r="T85" i="2" s="1"/>
  <c r="T58" i="2"/>
  <c r="T84" i="2" s="1"/>
  <c r="T57" i="2"/>
  <c r="T83" i="2" s="1"/>
  <c r="T56" i="2"/>
  <c r="T82" i="2" s="1"/>
  <c r="T55" i="2"/>
  <c r="T81" i="2" s="1"/>
  <c r="T54" i="2"/>
  <c r="T80" i="2" s="1"/>
  <c r="T53" i="2"/>
  <c r="T79" i="2" s="1"/>
  <c r="T52" i="2"/>
  <c r="T78" i="2" s="1"/>
  <c r="T51" i="2"/>
  <c r="AR39" i="2"/>
  <c r="U39" i="2"/>
  <c r="Y30" i="2"/>
  <c r="Y26" i="2"/>
  <c r="AD23" i="2"/>
  <c r="AC23" i="2"/>
  <c r="AB23" i="2"/>
  <c r="AA23" i="2"/>
  <c r="Z23" i="2"/>
  <c r="Y23" i="2"/>
  <c r="AD22" i="2"/>
  <c r="AC22" i="2"/>
  <c r="AA22" i="2"/>
  <c r="Z22" i="2"/>
  <c r="Y28" i="2" s="1"/>
  <c r="Y22" i="2"/>
  <c r="AD21" i="2"/>
  <c r="AC21" i="2"/>
  <c r="AA21" i="2"/>
  <c r="Z21" i="2"/>
  <c r="Y27" i="2" s="1"/>
  <c r="Y21" i="2"/>
  <c r="AD20" i="2"/>
  <c r="AC20" i="2"/>
  <c r="AA20" i="2"/>
  <c r="Z20" i="2"/>
  <c r="Y20" i="2"/>
  <c r="AD19" i="2"/>
  <c r="AC19" i="2"/>
  <c r="Z19" i="2"/>
  <c r="Y25" i="2" s="1"/>
  <c r="Y19" i="2"/>
  <c r="AD18" i="2"/>
  <c r="Z18" i="2"/>
  <c r="Y24" i="2" s="1"/>
  <c r="Y18" i="2"/>
  <c r="AD17" i="2"/>
  <c r="AD16" i="2"/>
  <c r="Y14" i="2"/>
  <c r="AB5" i="2"/>
  <c r="AA5" i="2"/>
  <c r="P10" i="1"/>
  <c r="O10" i="1"/>
  <c r="F7" i="1"/>
  <c r="F8" i="1" s="1"/>
  <c r="F9" i="1" s="1"/>
  <c r="F10" i="1" s="1"/>
  <c r="P6" i="1"/>
  <c r="H9" i="1"/>
  <c r="E41" i="1"/>
  <c r="E40" i="1"/>
  <c r="P17" i="1"/>
  <c r="P20" i="1"/>
  <c r="P18" i="1" l="1"/>
  <c r="G33" i="1"/>
  <c r="P19" i="1"/>
  <c r="G32" i="1"/>
  <c r="G27" i="1"/>
  <c r="T77" i="2"/>
  <c r="T50" i="2"/>
  <c r="V39" i="2"/>
  <c r="U41" i="2"/>
  <c r="G20" i="1"/>
  <c r="G24" i="1"/>
  <c r="C24" i="1"/>
  <c r="K30" i="1"/>
  <c r="K32" i="1"/>
  <c r="C30" i="1"/>
  <c r="C42" i="1"/>
  <c r="AA67" i="2"/>
  <c r="X73" i="2"/>
  <c r="AJ76" i="2"/>
  <c r="C14" i="1"/>
  <c r="I20" i="1"/>
  <c r="G21" i="1"/>
  <c r="E22" i="1"/>
  <c r="E25" i="1"/>
  <c r="G28" i="1"/>
  <c r="C25" i="1"/>
  <c r="C26" i="1"/>
  <c r="E32" i="1"/>
  <c r="C28" i="1"/>
  <c r="E34" i="1"/>
  <c r="E35" i="1"/>
  <c r="C31" i="1"/>
  <c r="C32" i="1"/>
  <c r="I43" i="1"/>
  <c r="C15" i="1"/>
  <c r="K20" i="1"/>
  <c r="I21" i="1"/>
  <c r="K23" i="1"/>
  <c r="K24" i="1"/>
  <c r="G25" i="1"/>
  <c r="E26" i="1"/>
  <c r="K27" i="1"/>
  <c r="G29" i="1"/>
  <c r="E30" i="1"/>
  <c r="E33" i="1"/>
  <c r="G35" i="1"/>
  <c r="G36" i="1"/>
  <c r="I41" i="1"/>
  <c r="I42" i="1"/>
  <c r="I44" i="1"/>
  <c r="AJ66" i="2"/>
  <c r="W68" i="2"/>
  <c r="X81" i="2"/>
  <c r="E21" i="1"/>
  <c r="K22" i="1"/>
  <c r="C20" i="1"/>
  <c r="K29" i="1"/>
  <c r="C27" i="1"/>
  <c r="K33" i="1"/>
  <c r="G38" i="1"/>
  <c r="AR40" i="2"/>
  <c r="E20" i="1"/>
  <c r="K21" i="1"/>
  <c r="E23" i="1"/>
  <c r="K25" i="1"/>
  <c r="C23" i="1"/>
  <c r="K28" i="1"/>
  <c r="C34" i="1"/>
  <c r="C41" i="1"/>
  <c r="V84" i="2"/>
  <c r="AO66" i="2"/>
  <c r="AF67" i="2"/>
  <c r="AB68" i="2"/>
  <c r="AB70" i="2"/>
  <c r="AN73" i="2"/>
  <c r="AF75" i="2"/>
  <c r="AB78" i="2"/>
  <c r="AN81" i="2"/>
  <c r="AL84" i="2"/>
  <c r="Y66" i="2"/>
  <c r="AK67" i="2"/>
  <c r="AG68" i="2"/>
  <c r="AA69" i="2"/>
  <c r="AJ72" i="2"/>
  <c r="X77" i="2"/>
  <c r="AJ80" i="2"/>
  <c r="AH82" i="2"/>
  <c r="AF85" i="2"/>
  <c r="AE66" i="2"/>
  <c r="U67" i="2"/>
  <c r="AM68" i="2"/>
  <c r="AN69" i="2"/>
  <c r="AF71" i="2"/>
  <c r="AB74" i="2"/>
  <c r="AN77" i="2"/>
  <c r="AF79" i="2"/>
  <c r="AB83" i="2"/>
  <c r="Z86" i="2"/>
  <c r="U66" i="2"/>
  <c r="AA66" i="2"/>
  <c r="AF66" i="2"/>
  <c r="AK66" i="2"/>
  <c r="W67" i="2"/>
  <c r="AB67" i="2"/>
  <c r="AG67" i="2"/>
  <c r="AM67" i="2"/>
  <c r="X68" i="2"/>
  <c r="AC68" i="2"/>
  <c r="AI68" i="2"/>
  <c r="AN68" i="2"/>
  <c r="AB69" i="2"/>
  <c r="AF70" i="2"/>
  <c r="AJ71" i="2"/>
  <c r="X72" i="2"/>
  <c r="AN72" i="2"/>
  <c r="AB73" i="2"/>
  <c r="AF74" i="2"/>
  <c r="AJ75" i="2"/>
  <c r="X76" i="2"/>
  <c r="AN76" i="2"/>
  <c r="AB77" i="2"/>
  <c r="AF78" i="2"/>
  <c r="AJ79" i="2"/>
  <c r="X80" i="2"/>
  <c r="AN80" i="2"/>
  <c r="AB81" i="2"/>
  <c r="V82" i="2"/>
  <c r="AL82" i="2"/>
  <c r="AF83" i="2"/>
  <c r="Z84" i="2"/>
  <c r="AJ85" i="2"/>
  <c r="AD86" i="2"/>
  <c r="W66" i="2"/>
  <c r="AB66" i="2"/>
  <c r="AG66" i="2"/>
  <c r="AM66" i="2"/>
  <c r="X67" i="2"/>
  <c r="AC67" i="2"/>
  <c r="AI67" i="2"/>
  <c r="AN67" i="2"/>
  <c r="Y68" i="2"/>
  <c r="AE68" i="2"/>
  <c r="AJ68" i="2"/>
  <c r="AO68" i="2"/>
  <c r="W69" i="2"/>
  <c r="AF69" i="2"/>
  <c r="AJ70" i="2"/>
  <c r="X71" i="2"/>
  <c r="AN71" i="2"/>
  <c r="AB72" i="2"/>
  <c r="AF73" i="2"/>
  <c r="AJ74" i="2"/>
  <c r="X75" i="2"/>
  <c r="AN75" i="2"/>
  <c r="AB76" i="2"/>
  <c r="AF77" i="2"/>
  <c r="AJ78" i="2"/>
  <c r="X79" i="2"/>
  <c r="AN79" i="2"/>
  <c r="AB80" i="2"/>
  <c r="AF81" i="2"/>
  <c r="Z82" i="2"/>
  <c r="AJ83" i="2"/>
  <c r="AD84" i="2"/>
  <c r="X85" i="2"/>
  <c r="AN85" i="2"/>
  <c r="AH86" i="2"/>
  <c r="X66" i="2"/>
  <c r="AC66" i="2"/>
  <c r="AI66" i="2"/>
  <c r="AN66" i="2"/>
  <c r="Y67" i="2"/>
  <c r="AE67" i="2"/>
  <c r="AJ67" i="2"/>
  <c r="AO67" i="2"/>
  <c r="U68" i="2"/>
  <c r="AA68" i="2"/>
  <c r="AF68" i="2"/>
  <c r="AK68" i="2"/>
  <c r="X69" i="2"/>
  <c r="AJ69" i="2"/>
  <c r="X70" i="2"/>
  <c r="AN70" i="2"/>
  <c r="AB71" i="2"/>
  <c r="AF72" i="2"/>
  <c r="AJ73" i="2"/>
  <c r="X74" i="2"/>
  <c r="AN74" i="2"/>
  <c r="AB75" i="2"/>
  <c r="AF76" i="2"/>
  <c r="AJ77" i="2"/>
  <c r="X78" i="2"/>
  <c r="AN78" i="2"/>
  <c r="AB79" i="2"/>
  <c r="AF80" i="2"/>
  <c r="AJ81" i="2"/>
  <c r="AD82" i="2"/>
  <c r="X83" i="2"/>
  <c r="AN83" i="2"/>
  <c r="AH84" i="2"/>
  <c r="AB85" i="2"/>
  <c r="V86" i="2"/>
  <c r="AL86" i="2"/>
  <c r="U69" i="2"/>
  <c r="Y69" i="2"/>
  <c r="AC69" i="2"/>
  <c r="AG69" i="2"/>
  <c r="AK69" i="2"/>
  <c r="AO69" i="2"/>
  <c r="U70" i="2"/>
  <c r="Y70" i="2"/>
  <c r="AC70" i="2"/>
  <c r="AG70" i="2"/>
  <c r="AK70" i="2"/>
  <c r="AO70" i="2"/>
  <c r="U71" i="2"/>
  <c r="Y71" i="2"/>
  <c r="AC71" i="2"/>
  <c r="AG71" i="2"/>
  <c r="AK71" i="2"/>
  <c r="AO71" i="2"/>
  <c r="U72" i="2"/>
  <c r="Y72" i="2"/>
  <c r="AC72" i="2"/>
  <c r="AG72" i="2"/>
  <c r="AK72" i="2"/>
  <c r="AO72" i="2"/>
  <c r="U73" i="2"/>
  <c r="Y73" i="2"/>
  <c r="AC73" i="2"/>
  <c r="AG73" i="2"/>
  <c r="AK73" i="2"/>
  <c r="AO73" i="2"/>
  <c r="U74" i="2"/>
  <c r="Y74" i="2"/>
  <c r="AC74" i="2"/>
  <c r="AG74" i="2"/>
  <c r="AK74" i="2"/>
  <c r="AO74" i="2"/>
  <c r="U75" i="2"/>
  <c r="Y75" i="2"/>
  <c r="AC75" i="2"/>
  <c r="AG75" i="2"/>
  <c r="AK75" i="2"/>
  <c r="AO75" i="2"/>
  <c r="U76" i="2"/>
  <c r="Y76" i="2"/>
  <c r="AC76" i="2"/>
  <c r="AG76" i="2"/>
  <c r="AK76" i="2"/>
  <c r="AO76" i="2"/>
  <c r="U77" i="2"/>
  <c r="Y77" i="2"/>
  <c r="AC77" i="2"/>
  <c r="AG77" i="2"/>
  <c r="AK77" i="2"/>
  <c r="AO77" i="2"/>
  <c r="U78" i="2"/>
  <c r="Y78" i="2"/>
  <c r="AC78" i="2"/>
  <c r="AG78" i="2"/>
  <c r="AK78" i="2"/>
  <c r="AO78" i="2"/>
  <c r="U79" i="2"/>
  <c r="Y79" i="2"/>
  <c r="AC79" i="2"/>
  <c r="AG79" i="2"/>
  <c r="AK79" i="2"/>
  <c r="AO79" i="2"/>
  <c r="U80" i="2"/>
  <c r="Y80" i="2"/>
  <c r="AC80" i="2"/>
  <c r="AG80" i="2"/>
  <c r="AK80" i="2"/>
  <c r="AO80" i="2"/>
  <c r="U81" i="2"/>
  <c r="Y81" i="2"/>
  <c r="AC81" i="2"/>
  <c r="AG81" i="2"/>
  <c r="AK81" i="2"/>
  <c r="AO81" i="2"/>
  <c r="W82" i="2"/>
  <c r="AA82" i="2"/>
  <c r="AE82" i="2"/>
  <c r="AI82" i="2"/>
  <c r="AM82" i="2"/>
  <c r="U83" i="2"/>
  <c r="Y83" i="2"/>
  <c r="AC83" i="2"/>
  <c r="AG83" i="2"/>
  <c r="AK83" i="2"/>
  <c r="AO83" i="2"/>
  <c r="W84" i="2"/>
  <c r="AA84" i="2"/>
  <c r="AE84" i="2"/>
  <c r="AI84" i="2"/>
  <c r="AM84" i="2"/>
  <c r="U85" i="2"/>
  <c r="Y85" i="2"/>
  <c r="AC85" i="2"/>
  <c r="AG85" i="2"/>
  <c r="AK85" i="2"/>
  <c r="AO85" i="2"/>
  <c r="W86" i="2"/>
  <c r="AA86" i="2"/>
  <c r="AE86" i="2"/>
  <c r="AI86" i="2"/>
  <c r="AM86" i="2"/>
  <c r="V66" i="2"/>
  <c r="Z66" i="2"/>
  <c r="AD66" i="2"/>
  <c r="AH66" i="2"/>
  <c r="AL66" i="2"/>
  <c r="V67" i="2"/>
  <c r="Z67" i="2"/>
  <c r="AD67" i="2"/>
  <c r="AH67" i="2"/>
  <c r="AL67" i="2"/>
  <c r="V68" i="2"/>
  <c r="Z68" i="2"/>
  <c r="AD68" i="2"/>
  <c r="AH68" i="2"/>
  <c r="AL68" i="2"/>
  <c r="V69" i="2"/>
  <c r="Z69" i="2"/>
  <c r="AD69" i="2"/>
  <c r="AH69" i="2"/>
  <c r="AL69" i="2"/>
  <c r="V70" i="2"/>
  <c r="Z70" i="2"/>
  <c r="AD70" i="2"/>
  <c r="AH70" i="2"/>
  <c r="AL70" i="2"/>
  <c r="V71" i="2"/>
  <c r="Z71" i="2"/>
  <c r="AD71" i="2"/>
  <c r="AH71" i="2"/>
  <c r="AL71" i="2"/>
  <c r="V72" i="2"/>
  <c r="Z72" i="2"/>
  <c r="AD72" i="2"/>
  <c r="AH72" i="2"/>
  <c r="AL72" i="2"/>
  <c r="V73" i="2"/>
  <c r="Z73" i="2"/>
  <c r="AD73" i="2"/>
  <c r="AH73" i="2"/>
  <c r="AL73" i="2"/>
  <c r="V74" i="2"/>
  <c r="Z74" i="2"/>
  <c r="AD74" i="2"/>
  <c r="AH74" i="2"/>
  <c r="AL74" i="2"/>
  <c r="V75" i="2"/>
  <c r="Z75" i="2"/>
  <c r="AD75" i="2"/>
  <c r="AH75" i="2"/>
  <c r="AL75" i="2"/>
  <c r="V76" i="2"/>
  <c r="Z76" i="2"/>
  <c r="AD76" i="2"/>
  <c r="AH76" i="2"/>
  <c r="AL76" i="2"/>
  <c r="V77" i="2"/>
  <c r="Z77" i="2"/>
  <c r="AD77" i="2"/>
  <c r="AH77" i="2"/>
  <c r="AL77" i="2"/>
  <c r="V78" i="2"/>
  <c r="Z78" i="2"/>
  <c r="AD78" i="2"/>
  <c r="AH78" i="2"/>
  <c r="AL78" i="2"/>
  <c r="V79" i="2"/>
  <c r="Z79" i="2"/>
  <c r="AD79" i="2"/>
  <c r="AH79" i="2"/>
  <c r="AL79" i="2"/>
  <c r="V80" i="2"/>
  <c r="Z80" i="2"/>
  <c r="AD80" i="2"/>
  <c r="AH80" i="2"/>
  <c r="AL80" i="2"/>
  <c r="V81" i="2"/>
  <c r="Z81" i="2"/>
  <c r="AD81" i="2"/>
  <c r="AH81" i="2"/>
  <c r="AL81" i="2"/>
  <c r="X82" i="2"/>
  <c r="AB82" i="2"/>
  <c r="AF82" i="2"/>
  <c r="AJ82" i="2"/>
  <c r="AN82" i="2"/>
  <c r="V83" i="2"/>
  <c r="Z83" i="2"/>
  <c r="AD83" i="2"/>
  <c r="AH83" i="2"/>
  <c r="AL83" i="2"/>
  <c r="X84" i="2"/>
  <c r="AB84" i="2"/>
  <c r="AF84" i="2"/>
  <c r="AJ84" i="2"/>
  <c r="AN84" i="2"/>
  <c r="V85" i="2"/>
  <c r="Z85" i="2"/>
  <c r="AD85" i="2"/>
  <c r="AH85" i="2"/>
  <c r="AL85" i="2"/>
  <c r="X86" i="2"/>
  <c r="AB86" i="2"/>
  <c r="AF86" i="2"/>
  <c r="AJ86" i="2"/>
  <c r="AN86" i="2"/>
  <c r="AE69" i="2"/>
  <c r="AI69" i="2"/>
  <c r="AM69" i="2"/>
  <c r="W70" i="2"/>
  <c r="AA70" i="2"/>
  <c r="AE70" i="2"/>
  <c r="AI70" i="2"/>
  <c r="AM70" i="2"/>
  <c r="W71" i="2"/>
  <c r="AA71" i="2"/>
  <c r="AE71" i="2"/>
  <c r="AI71" i="2"/>
  <c r="AM71" i="2"/>
  <c r="W72" i="2"/>
  <c r="AA72" i="2"/>
  <c r="AE72" i="2"/>
  <c r="AI72" i="2"/>
  <c r="AM72" i="2"/>
  <c r="W73" i="2"/>
  <c r="AA73" i="2"/>
  <c r="AE73" i="2"/>
  <c r="AI73" i="2"/>
  <c r="AM73" i="2"/>
  <c r="W74" i="2"/>
  <c r="AA74" i="2"/>
  <c r="AE74" i="2"/>
  <c r="AI74" i="2"/>
  <c r="AM74" i="2"/>
  <c r="W75" i="2"/>
  <c r="AA75" i="2"/>
  <c r="AE75" i="2"/>
  <c r="AI75" i="2"/>
  <c r="AM75" i="2"/>
  <c r="W76" i="2"/>
  <c r="AA76" i="2"/>
  <c r="AE76" i="2"/>
  <c r="AI76" i="2"/>
  <c r="AM76" i="2"/>
  <c r="W77" i="2"/>
  <c r="AA77" i="2"/>
  <c r="AE77" i="2"/>
  <c r="AI77" i="2"/>
  <c r="AM77" i="2"/>
  <c r="W78" i="2"/>
  <c r="AA78" i="2"/>
  <c r="AE78" i="2"/>
  <c r="AI78" i="2"/>
  <c r="AM78" i="2"/>
  <c r="W79" i="2"/>
  <c r="AA79" i="2"/>
  <c r="AE79" i="2"/>
  <c r="AI79" i="2"/>
  <c r="AM79" i="2"/>
  <c r="W80" i="2"/>
  <c r="AA80" i="2"/>
  <c r="AE80" i="2"/>
  <c r="AI80" i="2"/>
  <c r="AM80" i="2"/>
  <c r="W81" i="2"/>
  <c r="AA81" i="2"/>
  <c r="AE81" i="2"/>
  <c r="AI81" i="2"/>
  <c r="AM81" i="2"/>
  <c r="U82" i="2"/>
  <c r="Y82" i="2"/>
  <c r="AC82" i="2"/>
  <c r="AG82" i="2"/>
  <c r="AK82" i="2"/>
  <c r="AO82" i="2"/>
  <c r="W83" i="2"/>
  <c r="AA83" i="2"/>
  <c r="AE83" i="2"/>
  <c r="AI83" i="2"/>
  <c r="AM83" i="2"/>
  <c r="U84" i="2"/>
  <c r="Y84" i="2"/>
  <c r="AC84" i="2"/>
  <c r="AG84" i="2"/>
  <c r="AK84" i="2"/>
  <c r="AO84" i="2"/>
  <c r="W85" i="2"/>
  <c r="AA85" i="2"/>
  <c r="AE85" i="2"/>
  <c r="AI85" i="2"/>
  <c r="AM85" i="2"/>
  <c r="U86" i="2"/>
  <c r="Y86" i="2"/>
  <c r="AC86" i="2"/>
  <c r="AG86" i="2"/>
  <c r="AK86" i="2"/>
  <c r="AO86" i="2"/>
  <c r="AR77" i="2"/>
  <c r="AR73" i="2"/>
  <c r="AR69" i="2"/>
  <c r="AR60" i="2"/>
  <c r="AR64" i="2"/>
  <c r="AR59" i="2"/>
  <c r="AR54" i="2"/>
  <c r="AR51" i="2"/>
  <c r="AR45" i="2"/>
  <c r="U58" i="2"/>
  <c r="U54" i="2"/>
  <c r="U50" i="2"/>
  <c r="U46" i="2"/>
  <c r="U40" i="2"/>
  <c r="K39" i="1"/>
  <c r="AR78" i="2"/>
  <c r="AR70" i="2"/>
  <c r="AR67" i="2"/>
  <c r="AR55" i="2"/>
  <c r="AR46" i="2"/>
  <c r="U55" i="2"/>
  <c r="U43" i="2"/>
  <c r="K40" i="1"/>
  <c r="AR80" i="2"/>
  <c r="AR76" i="2"/>
  <c r="AR72" i="2"/>
  <c r="AR63" i="2"/>
  <c r="AR66" i="2"/>
  <c r="AR58" i="2"/>
  <c r="AR57" i="2"/>
  <c r="AR53" i="2"/>
  <c r="AR49" i="2"/>
  <c r="AR44" i="2"/>
  <c r="AR41" i="2"/>
  <c r="U57" i="2"/>
  <c r="U53" i="2"/>
  <c r="U49" i="2"/>
  <c r="U45" i="2"/>
  <c r="U42" i="2"/>
  <c r="AR74" i="2"/>
  <c r="AR65" i="2"/>
  <c r="AR48" i="2"/>
  <c r="AR68" i="2"/>
  <c r="U59" i="2"/>
  <c r="U51" i="2"/>
  <c r="K38" i="1"/>
  <c r="K41" i="1"/>
  <c r="AR79" i="2"/>
  <c r="AR75" i="2"/>
  <c r="AR71" i="2"/>
  <c r="AR61" i="2"/>
  <c r="AR62" i="2"/>
  <c r="AR50" i="2"/>
  <c r="AR56" i="2"/>
  <c r="AR52" i="2"/>
  <c r="AR47" i="2"/>
  <c r="AR43" i="2"/>
  <c r="U60" i="2"/>
  <c r="U56" i="2"/>
  <c r="U52" i="2"/>
  <c r="U48" i="2"/>
  <c r="U44" i="2"/>
  <c r="AR42" i="2"/>
  <c r="U47" i="2"/>
  <c r="K36" i="1"/>
  <c r="K34" i="1"/>
  <c r="K35" i="1"/>
  <c r="K37" i="1"/>
  <c r="C37" i="1" l="1"/>
  <c r="C36" i="1"/>
  <c r="I23" i="1"/>
  <c r="I26" i="1"/>
  <c r="C21" i="1"/>
  <c r="I34" i="1"/>
  <c r="I24" i="1"/>
  <c r="I22" i="1"/>
  <c r="C16" i="1"/>
  <c r="C17" i="1"/>
  <c r="W39" i="2"/>
  <c r="T76" i="2"/>
  <c r="T49" i="2"/>
  <c r="G23" i="1"/>
  <c r="G31" i="1"/>
  <c r="C18" i="1"/>
  <c r="G22" i="1"/>
  <c r="E29" i="1"/>
  <c r="I27" i="1"/>
  <c r="I28" i="1"/>
  <c r="I29" i="1"/>
  <c r="I30" i="1"/>
  <c r="I31" i="1"/>
  <c r="I32" i="1"/>
  <c r="I38" i="1"/>
  <c r="I37" i="1"/>
  <c r="I35" i="1"/>
  <c r="I36" i="1"/>
  <c r="E28" i="1"/>
  <c r="V60" i="2"/>
  <c r="V56" i="2"/>
  <c r="V52" i="2"/>
  <c r="V49" i="2"/>
  <c r="V41" i="2"/>
  <c r="V43" i="2"/>
  <c r="V59" i="2"/>
  <c r="V55" i="2"/>
  <c r="V50" i="2"/>
  <c r="V46" i="2"/>
  <c r="V42" i="2"/>
  <c r="V58" i="2"/>
  <c r="V54" i="2"/>
  <c r="V48" i="2"/>
  <c r="V44" i="2"/>
  <c r="V47" i="2"/>
  <c r="V57" i="2"/>
  <c r="V53" i="2"/>
  <c r="V51" i="2"/>
  <c r="V40" i="2"/>
  <c r="V45" i="2"/>
  <c r="T75" i="2" l="1"/>
  <c r="T48" i="2"/>
  <c r="X39" i="2"/>
  <c r="W59" i="2"/>
  <c r="W44" i="2"/>
  <c r="W41" i="2"/>
  <c r="W56" i="2"/>
  <c r="W52" i="2"/>
  <c r="W47" i="2"/>
  <c r="W43" i="2"/>
  <c r="W55" i="2"/>
  <c r="W42" i="2"/>
  <c r="W49" i="2"/>
  <c r="W48" i="2"/>
  <c r="W53" i="2"/>
  <c r="W51" i="2"/>
  <c r="W46" i="2"/>
  <c r="W60" i="2"/>
  <c r="W58" i="2"/>
  <c r="W54" i="2"/>
  <c r="W40" i="2"/>
  <c r="W45" i="2"/>
  <c r="W57" i="2"/>
  <c r="W50" i="2"/>
  <c r="T74" i="2" l="1"/>
  <c r="T47" i="2"/>
  <c r="Y39" i="2"/>
  <c r="X51" i="2"/>
  <c r="X45" i="2"/>
  <c r="X41" i="2"/>
  <c r="X55" i="2"/>
  <c r="X50" i="2"/>
  <c r="X49" i="2"/>
  <c r="X44" i="2"/>
  <c r="X58" i="2"/>
  <c r="X46" i="2"/>
  <c r="X42" i="2"/>
  <c r="X56" i="2"/>
  <c r="X52" i="2"/>
  <c r="X54" i="2"/>
  <c r="X48" i="2"/>
  <c r="X60" i="2"/>
  <c r="X47" i="2"/>
  <c r="X43" i="2"/>
  <c r="X57" i="2"/>
  <c r="X53" i="2"/>
  <c r="X40" i="2"/>
  <c r="X59" i="2"/>
  <c r="Z39" i="2" l="1"/>
  <c r="T73" i="2"/>
  <c r="T46" i="2"/>
  <c r="Y60" i="2"/>
  <c r="Y56" i="2"/>
  <c r="Y52" i="2"/>
  <c r="Y48" i="2"/>
  <c r="Y44" i="2"/>
  <c r="Y59" i="2"/>
  <c r="Y55" i="2"/>
  <c r="Y51" i="2"/>
  <c r="Y47" i="2"/>
  <c r="Y43" i="2"/>
  <c r="Y41" i="2"/>
  <c r="Y58" i="2"/>
  <c r="Y54" i="2"/>
  <c r="Y46" i="2"/>
  <c r="Y42" i="2"/>
  <c r="Y50" i="2"/>
  <c r="Y57" i="2"/>
  <c r="Y49" i="2"/>
  <c r="Y53" i="2"/>
  <c r="Y45" i="2"/>
  <c r="Y40" i="2"/>
  <c r="T45" i="2" l="1"/>
  <c r="T72" i="2"/>
  <c r="AA39" i="2"/>
  <c r="Z57" i="2"/>
  <c r="Z53" i="2"/>
  <c r="Z48" i="2"/>
  <c r="Z43" i="2"/>
  <c r="Z41" i="2"/>
  <c r="Z56" i="2"/>
  <c r="Z52" i="2"/>
  <c r="Z44" i="2"/>
  <c r="Z42" i="2"/>
  <c r="Z49" i="2"/>
  <c r="Z59" i="2"/>
  <c r="Z55" i="2"/>
  <c r="Z60" i="2"/>
  <c r="Z47" i="2"/>
  <c r="Z46" i="2"/>
  <c r="Z58" i="2"/>
  <c r="Z54" i="2"/>
  <c r="Z50" i="2"/>
  <c r="Z45" i="2"/>
  <c r="Z51" i="2"/>
  <c r="Z40" i="2"/>
  <c r="AB39" i="2" l="1"/>
  <c r="T71" i="2"/>
  <c r="T44" i="2"/>
  <c r="AA60" i="2"/>
  <c r="AA58" i="2"/>
  <c r="AA54" i="2"/>
  <c r="AA49" i="2"/>
  <c r="AA44" i="2"/>
  <c r="AA41" i="2"/>
  <c r="AA50" i="2"/>
  <c r="AA57" i="2"/>
  <c r="AA53" i="2"/>
  <c r="AA47" i="2"/>
  <c r="AA43" i="2"/>
  <c r="AA40" i="2"/>
  <c r="AA48" i="2"/>
  <c r="AA56" i="2"/>
  <c r="AA52" i="2"/>
  <c r="AA46" i="2"/>
  <c r="AA42" i="2"/>
  <c r="AA59" i="2"/>
  <c r="AA55" i="2"/>
  <c r="AA51" i="2"/>
  <c r="AA45" i="2"/>
  <c r="T70" i="2" l="1"/>
  <c r="T43" i="2"/>
  <c r="AC39" i="2"/>
  <c r="AB57" i="2"/>
  <c r="AB53" i="2"/>
  <c r="AB47" i="2"/>
  <c r="AB43" i="2"/>
  <c r="AB48" i="2"/>
  <c r="AB56" i="2"/>
  <c r="AB52" i="2"/>
  <c r="AB46" i="2"/>
  <c r="AB42" i="2"/>
  <c r="AB40" i="2"/>
  <c r="AB59" i="2"/>
  <c r="AB55" i="2"/>
  <c r="AB51" i="2"/>
  <c r="AB45" i="2"/>
  <c r="AB41" i="2"/>
  <c r="AB50" i="2"/>
  <c r="AB58" i="2"/>
  <c r="AB54" i="2"/>
  <c r="AB49" i="2"/>
  <c r="AB44" i="2"/>
  <c r="AB60" i="2"/>
  <c r="AD39" i="2" l="1"/>
  <c r="T69" i="2"/>
  <c r="T42" i="2"/>
  <c r="AC60" i="2"/>
  <c r="AC56" i="2"/>
  <c r="AC52" i="2"/>
  <c r="AC48" i="2"/>
  <c r="AC44" i="2"/>
  <c r="AC40" i="2"/>
  <c r="AC58" i="2"/>
  <c r="AC46" i="2"/>
  <c r="AC57" i="2"/>
  <c r="AC49" i="2"/>
  <c r="AC41" i="2"/>
  <c r="AC59" i="2"/>
  <c r="AC55" i="2"/>
  <c r="AC51" i="2"/>
  <c r="AC47" i="2"/>
  <c r="AC43" i="2"/>
  <c r="AC54" i="2"/>
  <c r="AC50" i="2"/>
  <c r="AC42" i="2"/>
  <c r="AC53" i="2"/>
  <c r="AC45" i="2"/>
  <c r="T68" i="2" l="1"/>
  <c r="T41" i="2"/>
  <c r="AE39" i="2"/>
  <c r="AD57" i="2"/>
  <c r="AD53" i="2"/>
  <c r="AD49" i="2"/>
  <c r="AD45" i="2"/>
  <c r="AD55" i="2"/>
  <c r="AD48" i="2"/>
  <c r="AD44" i="2"/>
  <c r="AD54" i="2"/>
  <c r="AD41" i="2"/>
  <c r="AD56" i="2"/>
  <c r="AD52" i="2"/>
  <c r="AD50" i="2"/>
  <c r="AD43" i="2"/>
  <c r="AD46" i="2"/>
  <c r="AD59" i="2"/>
  <c r="AD60" i="2"/>
  <c r="AD42" i="2"/>
  <c r="AD58" i="2"/>
  <c r="AD51" i="2"/>
  <c r="AD47" i="2"/>
  <c r="AD40" i="2"/>
  <c r="T67" i="2" l="1"/>
  <c r="T40" i="2"/>
  <c r="T66" i="2" s="1"/>
  <c r="AF39" i="2"/>
  <c r="AE50" i="2"/>
  <c r="AE45" i="2"/>
  <c r="AE57" i="2"/>
  <c r="AE53" i="2"/>
  <c r="AE49" i="2"/>
  <c r="AE60" i="2"/>
  <c r="AE43" i="2"/>
  <c r="AE41" i="2"/>
  <c r="AE46" i="2"/>
  <c r="AE54" i="2"/>
  <c r="AE40" i="2"/>
  <c r="AE48" i="2"/>
  <c r="AE44" i="2"/>
  <c r="AE56" i="2"/>
  <c r="AE52" i="2"/>
  <c r="AE42" i="2"/>
  <c r="AE47" i="2"/>
  <c r="AE55" i="2"/>
  <c r="AE59" i="2"/>
  <c r="AE58" i="2"/>
  <c r="AE51" i="2"/>
  <c r="AG39" i="2" l="1"/>
  <c r="AF60" i="2"/>
  <c r="AF48" i="2"/>
  <c r="AF59" i="2"/>
  <c r="AF47" i="2"/>
  <c r="AF43" i="2"/>
  <c r="AF56" i="2"/>
  <c r="AF52" i="2"/>
  <c r="AF40" i="2"/>
  <c r="AF42" i="2"/>
  <c r="AF51" i="2"/>
  <c r="AF45" i="2"/>
  <c r="AF54" i="2"/>
  <c r="AF44" i="2"/>
  <c r="AF53" i="2"/>
  <c r="AF58" i="2"/>
  <c r="AF46" i="2"/>
  <c r="AF55" i="2"/>
  <c r="AF50" i="2"/>
  <c r="AF41" i="2"/>
  <c r="AF49" i="2"/>
  <c r="AF57" i="2"/>
  <c r="AH39" i="2" l="1"/>
  <c r="AG60" i="2"/>
  <c r="AG56" i="2"/>
  <c r="AG52" i="2"/>
  <c r="AG59" i="2"/>
  <c r="AG55" i="2"/>
  <c r="AG51" i="2"/>
  <c r="AG47" i="2"/>
  <c r="AG43" i="2"/>
  <c r="AG50" i="2"/>
  <c r="AG42" i="2"/>
  <c r="AG57" i="2"/>
  <c r="AG49" i="2"/>
  <c r="AG40" i="2"/>
  <c r="AG44" i="2"/>
  <c r="AG58" i="2"/>
  <c r="AG54" i="2"/>
  <c r="AG46" i="2"/>
  <c r="AG53" i="2"/>
  <c r="AG45" i="2"/>
  <c r="AG48" i="2"/>
  <c r="AG41" i="2"/>
  <c r="AI39" i="2" l="1"/>
  <c r="AH59" i="2"/>
  <c r="AH55" i="2"/>
  <c r="AH60" i="2"/>
  <c r="AH45" i="2"/>
  <c r="AH44" i="2"/>
  <c r="AH47" i="2"/>
  <c r="AH57" i="2"/>
  <c r="AH49" i="2"/>
  <c r="AH56" i="2"/>
  <c r="AH41" i="2"/>
  <c r="AH48" i="2"/>
  <c r="AH58" i="2"/>
  <c r="AH54" i="2"/>
  <c r="AH51" i="2"/>
  <c r="AH40" i="2"/>
  <c r="AH42" i="2"/>
  <c r="AH43" i="2"/>
  <c r="AH53" i="2"/>
  <c r="AH50" i="2"/>
  <c r="AH52" i="2"/>
  <c r="AH46" i="2"/>
  <c r="AJ39" i="2" l="1"/>
  <c r="AI60" i="2"/>
  <c r="AI56" i="2"/>
  <c r="AI51" i="2"/>
  <c r="AI55" i="2"/>
  <c r="AI58" i="2"/>
  <c r="AI46" i="2"/>
  <c r="AI42" i="2"/>
  <c r="AI41" i="2"/>
  <c r="AI57" i="2"/>
  <c r="AI48" i="2"/>
  <c r="AI59" i="2"/>
  <c r="AI47" i="2"/>
  <c r="AI40" i="2"/>
  <c r="AI49" i="2"/>
  <c r="AI54" i="2"/>
  <c r="AI50" i="2"/>
  <c r="AI45" i="2"/>
  <c r="AI53" i="2"/>
  <c r="AI44" i="2"/>
  <c r="AI52" i="2"/>
  <c r="AI43" i="2"/>
  <c r="AK39" i="2" l="1"/>
  <c r="AJ60" i="2"/>
  <c r="AJ56" i="2"/>
  <c r="AJ52" i="2"/>
  <c r="AJ46" i="2"/>
  <c r="AJ42" i="2"/>
  <c r="AJ40" i="2"/>
  <c r="AJ48" i="2"/>
  <c r="AJ57" i="2"/>
  <c r="AJ49" i="2"/>
  <c r="AJ59" i="2"/>
  <c r="AJ55" i="2"/>
  <c r="AJ50" i="2"/>
  <c r="AJ45" i="2"/>
  <c r="AJ41" i="2"/>
  <c r="AJ44" i="2"/>
  <c r="AJ53" i="2"/>
  <c r="AJ43" i="2"/>
  <c r="AJ58" i="2"/>
  <c r="AJ54" i="2"/>
  <c r="AJ51" i="2"/>
  <c r="AJ47" i="2"/>
  <c r="AL39" i="2" l="1"/>
  <c r="AK60" i="2"/>
  <c r="AK56" i="2"/>
  <c r="AK52" i="2"/>
  <c r="AK48" i="2"/>
  <c r="AK44" i="2"/>
  <c r="AK41" i="2"/>
  <c r="AK54" i="2"/>
  <c r="AK46" i="2"/>
  <c r="AK57" i="2"/>
  <c r="AK49" i="2"/>
  <c r="AK40" i="2"/>
  <c r="AK59" i="2"/>
  <c r="AK55" i="2"/>
  <c r="AK51" i="2"/>
  <c r="AK47" i="2"/>
  <c r="AK43" i="2"/>
  <c r="AK58" i="2"/>
  <c r="AK50" i="2"/>
  <c r="AK42" i="2"/>
  <c r="AK53" i="2"/>
  <c r="AK45" i="2"/>
  <c r="AM39" i="2" l="1"/>
  <c r="AL60" i="2"/>
  <c r="AL56" i="2"/>
  <c r="AL52" i="2"/>
  <c r="AL49" i="2"/>
  <c r="AL41" i="2"/>
  <c r="AL43" i="2"/>
  <c r="AL54" i="2"/>
  <c r="AL44" i="2"/>
  <c r="AL57" i="2"/>
  <c r="AL51" i="2"/>
  <c r="AL42" i="2"/>
  <c r="AL59" i="2"/>
  <c r="AL55" i="2"/>
  <c r="AL50" i="2"/>
  <c r="AL46" i="2"/>
  <c r="AL40" i="2"/>
  <c r="AL58" i="2"/>
  <c r="AL48" i="2"/>
  <c r="AL47" i="2"/>
  <c r="AL53" i="2"/>
  <c r="AL45" i="2"/>
  <c r="AN39" i="2" l="1"/>
  <c r="AM60" i="2"/>
  <c r="AM59" i="2"/>
  <c r="AM44" i="2"/>
  <c r="AM41" i="2"/>
  <c r="AM57" i="2"/>
  <c r="AM53" i="2"/>
  <c r="AM46" i="2"/>
  <c r="AM55" i="2"/>
  <c r="AM45" i="2"/>
  <c r="AM40" i="2"/>
  <c r="AM54" i="2"/>
  <c r="AM58" i="2"/>
  <c r="AM47" i="2"/>
  <c r="AM43" i="2"/>
  <c r="AM56" i="2"/>
  <c r="AM52" i="2"/>
  <c r="AM51" i="2"/>
  <c r="AM42" i="2"/>
  <c r="AM48" i="2"/>
  <c r="AM49" i="2"/>
  <c r="AM50" i="2"/>
  <c r="AO39" i="2" l="1"/>
  <c r="AN60" i="2"/>
  <c r="AN49" i="2"/>
  <c r="AN44" i="2"/>
  <c r="AN40" i="2"/>
  <c r="AN54" i="2"/>
  <c r="AN48" i="2"/>
  <c r="AN46" i="2"/>
  <c r="AN56" i="2"/>
  <c r="AN51" i="2"/>
  <c r="AN41" i="2"/>
  <c r="AN50" i="2"/>
  <c r="AN59" i="2"/>
  <c r="AN47" i="2"/>
  <c r="AN43" i="2"/>
  <c r="AN57" i="2"/>
  <c r="AN53" i="2"/>
  <c r="AN58" i="2"/>
  <c r="AN42" i="2"/>
  <c r="AN52" i="2"/>
  <c r="AN45" i="2"/>
  <c r="AN55" i="2"/>
  <c r="AO60" i="2"/>
  <c r="AO56" i="2"/>
  <c r="AO52" i="2"/>
  <c r="AO48" i="2"/>
  <c r="AO44" i="2"/>
  <c r="AO40" i="2"/>
  <c r="AO54" i="2"/>
  <c r="AO50" i="2"/>
  <c r="AO42" i="2"/>
  <c r="AO49" i="2"/>
  <c r="AO41" i="2"/>
  <c r="AO59" i="2"/>
  <c r="AO55" i="2"/>
  <c r="AO51" i="2"/>
  <c r="AO47" i="2"/>
  <c r="AO43" i="2"/>
  <c r="AO58" i="2"/>
  <c r="AO46" i="2"/>
  <c r="AO57" i="2"/>
  <c r="AO53" i="2"/>
  <c r="AO45" i="2"/>
</calcChain>
</file>

<file path=xl/sharedStrings.xml><?xml version="1.0" encoding="utf-8"?>
<sst xmlns="http://schemas.openxmlformats.org/spreadsheetml/2006/main" count="272" uniqueCount="241">
  <si>
    <t>Used for pull down menus</t>
  </si>
  <si>
    <t xml:space="preserve">Today : </t>
  </si>
  <si>
    <t>IMPLIED VOLATILITY</t>
  </si>
  <si>
    <t xml:space="preserve">Asset price : </t>
  </si>
  <si>
    <t xml:space="preserve">Expiry : </t>
  </si>
  <si>
    <t xml:space="preserve">Premium : </t>
  </si>
  <si>
    <t>Call</t>
  </si>
  <si>
    <t>Date</t>
  </si>
  <si>
    <t>Single option</t>
  </si>
  <si>
    <t xml:space="preserve">Strike price : </t>
  </si>
  <si>
    <t xml:space="preserve">Days : </t>
  </si>
  <si>
    <t xml:space="preserve">Implied Vol : </t>
  </si>
  <si>
    <t>Put</t>
  </si>
  <si>
    <t>Days</t>
  </si>
  <si>
    <t>Straddle</t>
  </si>
  <si>
    <t xml:space="preserve">Time To Maturity : </t>
  </si>
  <si>
    <t xml:space="preserve">T-used : </t>
  </si>
  <si>
    <t>Weeks</t>
  </si>
  <si>
    <t xml:space="preserve">Risk free rate : </t>
  </si>
  <si>
    <t xml:space="preserve">Days per year : </t>
  </si>
  <si>
    <t>Years</t>
  </si>
  <si>
    <t>On</t>
  </si>
  <si>
    <t>Continuous</t>
  </si>
  <si>
    <t>Off</t>
  </si>
  <si>
    <t xml:space="preserve">Volatility : </t>
  </si>
  <si>
    <t>Annual</t>
  </si>
  <si>
    <t xml:space="preserve">Option value : </t>
  </si>
  <si>
    <t>GAMMA GREEKS</t>
  </si>
  <si>
    <t xml:space="preserve">VEGA GREEKS </t>
  </si>
  <si>
    <t>THETA GREEKS</t>
  </si>
  <si>
    <t>PROBABILITY GREEKS</t>
  </si>
  <si>
    <t>Semi-annual</t>
  </si>
  <si>
    <t xml:space="preserve">Put-call parity : </t>
  </si>
  <si>
    <t xml:space="preserve">Gamma : </t>
  </si>
  <si>
    <t xml:space="preserve">Vega : </t>
  </si>
  <si>
    <t xml:space="preserve">Theta : </t>
  </si>
  <si>
    <t xml:space="preserve">In-the-money prob : </t>
  </si>
  <si>
    <t>Quarterly</t>
  </si>
  <si>
    <t xml:space="preserve">Break even : </t>
  </si>
  <si>
    <t xml:space="preserve">DgammaDspot : </t>
  </si>
  <si>
    <t xml:space="preserve">Vomma : </t>
  </si>
  <si>
    <t xml:space="preserve">Drift-less theta : </t>
  </si>
  <si>
    <t xml:space="preserve">DzetaDvol : </t>
  </si>
  <si>
    <t>Monthly</t>
  </si>
  <si>
    <t xml:space="preserve">Value % of asset : </t>
  </si>
  <si>
    <t xml:space="preserve">DgammaDvol : </t>
  </si>
  <si>
    <t>Vomma+SL</t>
  </si>
  <si>
    <t xml:space="preserve">Theta% premium : </t>
  </si>
  <si>
    <t xml:space="preserve">DzetaDtime : </t>
  </si>
  <si>
    <t>CC Rate</t>
  </si>
  <si>
    <t xml:space="preserve">Theoretical forward price : </t>
  </si>
  <si>
    <t xml:space="preserve">DgammaDtime : </t>
  </si>
  <si>
    <t>Vomma+SU</t>
  </si>
  <si>
    <t xml:space="preserve">Alpha : </t>
  </si>
  <si>
    <t xml:space="preserve">BreakEvenProb T : </t>
  </si>
  <si>
    <t>CC Carry</t>
  </si>
  <si>
    <t>DELTA GREEKS</t>
  </si>
  <si>
    <t>Local Max</t>
  </si>
  <si>
    <t xml:space="preserve">Ultima : </t>
  </si>
  <si>
    <t xml:space="preserve">BleedOffsetVol : </t>
  </si>
  <si>
    <t xml:space="preserve">RND : </t>
  </si>
  <si>
    <t>Dcarry</t>
  </si>
  <si>
    <t>Dividend yield:</t>
  </si>
  <si>
    <t xml:space="preserve">Spot Delta : </t>
  </si>
  <si>
    <t xml:space="preserve">Spot : </t>
  </si>
  <si>
    <t xml:space="preserve">DvegaDtime : </t>
  </si>
  <si>
    <t>FROM DELTA</t>
  </si>
  <si>
    <t xml:space="preserve">Strike delta : </t>
  </si>
  <si>
    <t>Cfield</t>
  </si>
  <si>
    <t>Cost of carry</t>
  </si>
  <si>
    <t xml:space="preserve">Forward Delta : </t>
  </si>
  <si>
    <t xml:space="preserve">Strike : </t>
  </si>
  <si>
    <t xml:space="preserve">Delta : </t>
  </si>
  <si>
    <t>RATE GREEKS</t>
  </si>
  <si>
    <t>Vol Used</t>
  </si>
  <si>
    <t>DDeltaDvol</t>
  </si>
  <si>
    <t>Saddle Gamma</t>
  </si>
  <si>
    <t xml:space="preserve">Time : </t>
  </si>
  <si>
    <t xml:space="preserve">Rho : </t>
  </si>
  <si>
    <t xml:space="preserve">DdeltaDvol : </t>
  </si>
  <si>
    <t xml:space="preserve">InTheMoneyProb : </t>
  </si>
  <si>
    <t xml:space="preserve">Futures Rho : </t>
  </si>
  <si>
    <t xml:space="preserve">Max spot : </t>
  </si>
  <si>
    <t xml:space="preserve">Time Years : </t>
  </si>
  <si>
    <t xml:space="preserve">Carry : </t>
  </si>
  <si>
    <t xml:space="preserve">Min Spot : </t>
  </si>
  <si>
    <t xml:space="preserve">Saddle Gamma : </t>
  </si>
  <si>
    <t>Global Max</t>
  </si>
  <si>
    <t xml:space="preserve">GammaP : </t>
  </si>
  <si>
    <t xml:space="preserve">Phi: </t>
  </si>
  <si>
    <t xml:space="preserve">Max Strike : </t>
  </si>
  <si>
    <t>GammaP</t>
  </si>
  <si>
    <t>CALCULATIONS</t>
  </si>
  <si>
    <t xml:space="preserve">Min Strike :  </t>
  </si>
  <si>
    <t xml:space="preserve">GammaP: </t>
  </si>
  <si>
    <t xml:space="preserve">Vega P : </t>
  </si>
  <si>
    <t xml:space="preserve">d1 : </t>
  </si>
  <si>
    <t xml:space="preserve">DvannaDvol : </t>
  </si>
  <si>
    <t xml:space="preserve">DgammaPDspot : </t>
  </si>
  <si>
    <t xml:space="preserve">MaxVega : </t>
  </si>
  <si>
    <t>FROM PROBABILITY</t>
  </si>
  <si>
    <t xml:space="preserve">d2 : </t>
  </si>
  <si>
    <t>Various Delta:</t>
  </si>
  <si>
    <t xml:space="preserve">DgammaPDvol : </t>
  </si>
  <si>
    <t>VegaP</t>
  </si>
  <si>
    <t xml:space="preserve">In-the-money-prob : </t>
  </si>
  <si>
    <t xml:space="preserve">n(d1 ) : </t>
  </si>
  <si>
    <t xml:space="preserve">DdeltaDtime : </t>
  </si>
  <si>
    <t xml:space="preserve">DgammaPDtime : </t>
  </si>
  <si>
    <t xml:space="preserve">VegaP : </t>
  </si>
  <si>
    <t xml:space="preserve">n(d2) : </t>
  </si>
  <si>
    <t xml:space="preserve">DNeutral straddle strike : </t>
  </si>
  <si>
    <t>Historic vol Estimate</t>
  </si>
  <si>
    <t xml:space="preserve">DvegaPDvol : </t>
  </si>
  <si>
    <t xml:space="preserve">N(d1) : </t>
  </si>
  <si>
    <t xml:space="preserve"> Delta Mirror strike : </t>
  </si>
  <si>
    <t xml:space="preserve">Volatility estimate : </t>
  </si>
  <si>
    <t>VegaLeverage</t>
  </si>
  <si>
    <t xml:space="preserve">N(d2) : </t>
  </si>
  <si>
    <t>Elasticity</t>
  </si>
  <si>
    <t xml:space="preserve"># Observations : </t>
  </si>
  <si>
    <t xml:space="preserve">Vega leverage : </t>
  </si>
  <si>
    <t xml:space="preserve">Delta: </t>
  </si>
  <si>
    <t xml:space="preserve">n(-d1 ) : </t>
  </si>
  <si>
    <t xml:space="preserve">Elasticity : </t>
  </si>
  <si>
    <t xml:space="preserve">Confidence interval : </t>
  </si>
  <si>
    <t xml:space="preserve">VARIANCE GREEKS </t>
  </si>
  <si>
    <t xml:space="preserve">n(-d2) : </t>
  </si>
  <si>
    <t xml:space="preserve">Stock Beta : </t>
  </si>
  <si>
    <t xml:space="preserve">Lower : </t>
  </si>
  <si>
    <t xml:space="preserve">Variance vega : </t>
  </si>
  <si>
    <t xml:space="preserve">N(-d1) : </t>
  </si>
  <si>
    <t xml:space="preserve">Option Beta : </t>
  </si>
  <si>
    <t xml:space="preserve">Upper : </t>
  </si>
  <si>
    <t xml:space="preserve">Ddeltadvar : </t>
  </si>
  <si>
    <t xml:space="preserve">N(-d2) : </t>
  </si>
  <si>
    <t xml:space="preserve">Option vol : </t>
  </si>
  <si>
    <t xml:space="preserve">Variance vomma : </t>
  </si>
  <si>
    <t xml:space="preserve">Variance ultima : </t>
  </si>
  <si>
    <t>Dynamic Delta Hedging</t>
  </si>
  <si>
    <t>Number of rehedges :</t>
  </si>
  <si>
    <t>Stdv of P/L absolute :</t>
  </si>
  <si>
    <t>Stdv P/L as % premium :</t>
  </si>
  <si>
    <t>DeltaGreeks</t>
  </si>
  <si>
    <t>GammaGreeks</t>
  </si>
  <si>
    <t xml:space="preserve">Asset/Strike Axis : </t>
  </si>
  <si>
    <t>VegaGreeks</t>
  </si>
  <si>
    <t xml:space="preserve">   </t>
  </si>
  <si>
    <t>Theta and Prob Greeks</t>
  </si>
  <si>
    <t>#D</t>
  </si>
  <si>
    <t>Time in :</t>
  </si>
  <si>
    <t>RhoGreeks</t>
  </si>
  <si>
    <t>Asset Price</t>
  </si>
  <si>
    <t>3-Dimensional graph:</t>
  </si>
  <si>
    <t>2-Dimensional graph:</t>
  </si>
  <si>
    <t>Strike Price</t>
  </si>
  <si>
    <t>Asset/Strike price range :</t>
  </si>
  <si>
    <t>Time range:</t>
  </si>
  <si>
    <t>Time point:</t>
  </si>
  <si>
    <t>Spot Delta</t>
  </si>
  <si>
    <t>Gamma</t>
  </si>
  <si>
    <t>Vega</t>
  </si>
  <si>
    <t>Theta</t>
  </si>
  <si>
    <t>Rho</t>
  </si>
  <si>
    <t>Minimum :</t>
  </si>
  <si>
    <t>Start point :</t>
  </si>
  <si>
    <t>Forward Delta</t>
  </si>
  <si>
    <t>DgammaDspot</t>
  </si>
  <si>
    <t>Vomma</t>
  </si>
  <si>
    <t>Drift-less theta</t>
  </si>
  <si>
    <t>Futures Rho</t>
  </si>
  <si>
    <t>Maximum :</t>
  </si>
  <si>
    <t>End point :</t>
  </si>
  <si>
    <t>DdeltaDtime</t>
  </si>
  <si>
    <t>DgammaDvol</t>
  </si>
  <si>
    <t>DvommaDvol</t>
  </si>
  <si>
    <t>Risk neutral prob</t>
  </si>
  <si>
    <t>Carry</t>
  </si>
  <si>
    <t>DgammaDtime</t>
  </si>
  <si>
    <t>DvegaDtime</t>
  </si>
  <si>
    <t xml:space="preserve">DzetaDvol </t>
  </si>
  <si>
    <t>Phi</t>
  </si>
  <si>
    <t>DDeltaDVol</t>
  </si>
  <si>
    <t>DzetaDtime</t>
  </si>
  <si>
    <t>DVannaDvol</t>
  </si>
  <si>
    <t xml:space="preserve">DgammaPDspot </t>
  </si>
  <si>
    <t>DvegaPDvol</t>
  </si>
  <si>
    <t>BreakEvenProb</t>
  </si>
  <si>
    <t>DgammaPDvol</t>
  </si>
  <si>
    <t>Variance vega</t>
  </si>
  <si>
    <t>RND</t>
  </si>
  <si>
    <t>DgammaPDtime</t>
  </si>
  <si>
    <t>Variance delta</t>
  </si>
  <si>
    <t>Variance vomma</t>
  </si>
  <si>
    <t>Variance ultima</t>
  </si>
  <si>
    <t xml:space="preserve"> </t>
  </si>
  <si>
    <t>d</t>
  </si>
  <si>
    <t>g</t>
  </si>
  <si>
    <t>v</t>
  </si>
  <si>
    <t>t</t>
  </si>
  <si>
    <t>r</t>
  </si>
  <si>
    <t>df</t>
  </si>
  <si>
    <t>s</t>
  </si>
  <si>
    <t>dvdv</t>
  </si>
  <si>
    <t>Dlt</t>
  </si>
  <si>
    <t>fr</t>
  </si>
  <si>
    <t>dt</t>
  </si>
  <si>
    <t>gv</t>
  </si>
  <si>
    <t>vvv</t>
  </si>
  <si>
    <t>z</t>
  </si>
  <si>
    <t>b</t>
  </si>
  <si>
    <t>e</t>
  </si>
  <si>
    <t>gt</t>
  </si>
  <si>
    <t>vt</t>
  </si>
  <si>
    <t>zv</t>
  </si>
  <si>
    <t>f</t>
  </si>
  <si>
    <t>dddv</t>
  </si>
  <si>
    <t>gp</t>
  </si>
  <si>
    <t>vp</t>
  </si>
  <si>
    <t>zt</t>
  </si>
  <si>
    <t>dvv</t>
  </si>
  <si>
    <t>gps</t>
  </si>
  <si>
    <t>vpv</t>
  </si>
  <si>
    <t>bp</t>
  </si>
  <si>
    <t>gpv</t>
  </si>
  <si>
    <t>varVega</t>
  </si>
  <si>
    <t>dxdx</t>
  </si>
  <si>
    <t>gpt</t>
  </si>
  <si>
    <t>vardelta</t>
  </si>
  <si>
    <t>Long</t>
  </si>
  <si>
    <t>varvar</t>
  </si>
  <si>
    <t>Short</t>
  </si>
  <si>
    <t>varult</t>
  </si>
  <si>
    <t>Calculations of table used to generate 3-D graph</t>
  </si>
  <si>
    <t>For 2-D Graph</t>
  </si>
  <si>
    <t>Time to maturity</t>
  </si>
  <si>
    <t>Asset/Strike</t>
  </si>
  <si>
    <t>Volatility Range</t>
  </si>
  <si>
    <t>Days to Maturity :</t>
  </si>
  <si>
    <t>Inputs are blue</t>
  </si>
  <si>
    <t>Plotting Option Sensitivities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</si>
</sst>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0.000%"/>
    <numFmt numFmtId="165" formatCode="0.0000"/>
    <numFmt numFmtId="166" formatCode="_(* #,##0.00_);_(* \(#,##0.00\);_(* &quot;-&quot;??_);_(@_)"/>
    <numFmt numFmtId="167" formatCode="_(* #,##0.0000_);_(* \(#,##0.0000\);_(* &quot;-&quot;??_);_(@_)"/>
    <numFmt numFmtId="168" formatCode="_(* #,##0.0000000_);_(* \(#,##0.000000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"/>
    <numFmt numFmtId="172" formatCode="0.000"/>
    <numFmt numFmtId="173" formatCode="0.00000"/>
    <numFmt numFmtId="174" formatCode="_(* #,##0_);_(* \(#,##0\);_(* &quot;-&quot;??_);_(@_)"/>
    <numFmt numFmtId="175" formatCode="0.0000%"/>
    <numFmt numFmtId="177" formatCode="0.00000%"/>
    <numFmt numFmtId="178" formatCode="_(* #,##0.000_);_(* \(#,##0.000\);_(* &quot;-&quot;??_);_(@_)"/>
    <numFmt numFmtId="179" formatCode="_(* #,##0.00000000_);_(* \(#,##0.00000000\);_(* &quot;-&quot;??_);_(@_)"/>
  </numFmts>
  <fonts count="26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b/>
      <sz val="12"/>
      <name val="Arial"/>
    </font>
    <font>
      <b/>
      <sz val="10"/>
      <name val="Arial"/>
    </font>
    <font>
      <sz val="10"/>
      <color indexed="10"/>
      <name val="Arial"/>
    </font>
    <font>
      <b/>
      <sz val="10"/>
      <color indexed="49"/>
      <name val="Arial"/>
    </font>
    <font>
      <b/>
      <sz val="10"/>
      <color indexed="12"/>
      <name val="Arial"/>
      <family val="2"/>
    </font>
    <font>
      <b/>
      <sz val="10"/>
      <color indexed="58"/>
      <name val="Arial"/>
    </font>
    <font>
      <b/>
      <sz val="10"/>
      <color indexed="12"/>
      <name val="Geneva"/>
    </font>
    <font>
      <b/>
      <sz val="10"/>
      <color indexed="21"/>
      <name val="Arial"/>
      <family val="2"/>
    </font>
    <font>
      <sz val="10"/>
      <name val="Geneva"/>
    </font>
    <font>
      <b/>
      <sz val="10"/>
      <color indexed="18"/>
      <name val="Geneva"/>
    </font>
    <font>
      <b/>
      <sz val="10"/>
      <color indexed="20"/>
      <name val="Arial"/>
      <family val="2"/>
    </font>
    <font>
      <b/>
      <sz val="10"/>
      <color indexed="8"/>
      <name val="Arial"/>
    </font>
    <font>
      <b/>
      <sz val="10"/>
      <name val="Geneva"/>
    </font>
    <font>
      <b/>
      <sz val="12"/>
      <color indexed="10"/>
      <name val="Arial"/>
    </font>
    <font>
      <b/>
      <sz val="10"/>
      <color indexed="62"/>
      <name val="Geneva"/>
    </font>
    <font>
      <b/>
      <sz val="10"/>
      <color indexed="37"/>
      <name val="Geneva"/>
    </font>
    <font>
      <b/>
      <sz val="14"/>
      <color theme="1"/>
      <name val="Calibri"/>
      <family val="2"/>
      <scheme val="minor"/>
    </font>
    <font>
      <b/>
      <sz val="14"/>
      <color rgb="FF0070C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color indexed="12"/>
      <name val="Geneva"/>
    </font>
    <font>
      <b/>
      <sz val="10"/>
      <color theme="1"/>
      <name val="Arial"/>
      <family val="2"/>
    </font>
    <font>
      <b/>
      <sz val="12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1" fillId="0" borderId="0"/>
    <xf numFmtId="0" fontId="11" fillId="0" borderId="0"/>
  </cellStyleXfs>
  <cellXfs count="230">
    <xf numFmtId="0" fontId="0" fillId="0" borderId="0" xfId="0"/>
    <xf numFmtId="0" fontId="2" fillId="0" borderId="0" xfId="0" applyFont="1"/>
    <xf numFmtId="0" fontId="3" fillId="0" borderId="0" xfId="0" applyFont="1"/>
    <xf numFmtId="164" fontId="2" fillId="0" borderId="0" xfId="2" applyNumberFormat="1"/>
    <xf numFmtId="165" fontId="5" fillId="0" borderId="0" xfId="0" applyNumberFormat="1" applyFont="1"/>
    <xf numFmtId="167" fontId="2" fillId="0" borderId="0" xfId="1" applyNumberFormat="1"/>
    <xf numFmtId="165" fontId="6" fillId="0" borderId="0" xfId="0" applyNumberFormat="1" applyFont="1"/>
    <xf numFmtId="168" fontId="2" fillId="0" borderId="0" xfId="1" applyNumberFormat="1" applyFont="1"/>
    <xf numFmtId="169" fontId="2" fillId="0" borderId="0" xfId="1" applyNumberFormat="1"/>
    <xf numFmtId="168" fontId="2" fillId="0" borderId="0" xfId="1" applyNumberFormat="1"/>
    <xf numFmtId="0" fontId="7" fillId="0" borderId="0" xfId="0" applyFont="1"/>
    <xf numFmtId="170" fontId="5" fillId="0" borderId="0" xfId="1" applyNumberFormat="1" applyFont="1"/>
    <xf numFmtId="164" fontId="0" fillId="0" borderId="0" xfId="0" applyNumberFormat="1"/>
    <xf numFmtId="165" fontId="0" fillId="0" borderId="0" xfId="0" applyNumberFormat="1"/>
    <xf numFmtId="0" fontId="4" fillId="4" borderId="1" xfId="0" applyFont="1" applyFill="1" applyBorder="1" applyAlignment="1">
      <alignment horizontal="center"/>
    </xf>
    <xf numFmtId="0" fontId="8" fillId="0" borderId="0" xfId="0" applyFont="1"/>
    <xf numFmtId="171" fontId="9" fillId="0" borderId="0" xfId="1" applyNumberFormat="1" applyFont="1" applyBorder="1"/>
    <xf numFmtId="0" fontId="4" fillId="0" borderId="0" xfId="0" applyFont="1" applyAlignment="1">
      <alignment horizontal="right"/>
    </xf>
    <xf numFmtId="15" fontId="10" fillId="5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4" fillId="0" borderId="0" xfId="5" applyFont="1" applyAlignment="1">
      <alignment horizontal="right"/>
    </xf>
    <xf numFmtId="15" fontId="7" fillId="0" borderId="5" xfId="0" applyNumberFormat="1" applyFont="1" applyBorder="1" applyAlignment="1">
      <alignment horizontal="center"/>
    </xf>
    <xf numFmtId="171" fontId="9" fillId="0" borderId="2" xfId="1" applyNumberFormat="1" applyFont="1" applyBorder="1"/>
    <xf numFmtId="0" fontId="2" fillId="4" borderId="6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0" fontId="4" fillId="6" borderId="7" xfId="2" applyNumberFormat="1" applyFont="1" applyFill="1" applyBorder="1"/>
    <xf numFmtId="0" fontId="0" fillId="4" borderId="8" xfId="0" applyFill="1" applyBorder="1" applyAlignment="1">
      <alignment horizontal="center"/>
    </xf>
    <xf numFmtId="0" fontId="0" fillId="0" borderId="0" xfId="0" quotePrefix="1"/>
    <xf numFmtId="0" fontId="12" fillId="4" borderId="9" xfId="6" applyFont="1" applyFill="1" applyBorder="1" applyAlignment="1">
      <alignment horizontal="center"/>
    </xf>
    <xf numFmtId="0" fontId="12" fillId="4" borderId="4" xfId="6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Border="1"/>
    <xf numFmtId="164" fontId="9" fillId="0" borderId="0" xfId="2" applyNumberFormat="1" applyFont="1" applyBorder="1"/>
    <xf numFmtId="2" fontId="7" fillId="0" borderId="7" xfId="0" applyNumberFormat="1" applyFont="1" applyBorder="1" applyAlignment="1">
      <alignment horizontal="center"/>
    </xf>
    <xf numFmtId="174" fontId="2" fillId="0" borderId="0" xfId="1" applyNumberFormat="1"/>
    <xf numFmtId="0" fontId="11" fillId="4" borderId="10" xfId="6" applyFill="1" applyBorder="1" applyAlignment="1">
      <alignment horizontal="center"/>
    </xf>
    <xf numFmtId="0" fontId="11" fillId="4" borderId="6" xfId="6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4" fillId="0" borderId="0" xfId="5" applyFont="1" applyBorder="1" applyAlignment="1">
      <alignment horizontal="right"/>
    </xf>
    <xf numFmtId="169" fontId="0" fillId="0" borderId="0" xfId="0" applyNumberFormat="1"/>
    <xf numFmtId="10" fontId="4" fillId="0" borderId="0" xfId="0" applyNumberFormat="1" applyFont="1"/>
    <xf numFmtId="174" fontId="4" fillId="0" borderId="0" xfId="1" applyNumberFormat="1" applyFont="1" applyAlignment="1">
      <alignment horizontal="right"/>
    </xf>
    <xf numFmtId="2" fontId="0" fillId="0" borderId="0" xfId="0" applyNumberFormat="1"/>
    <xf numFmtId="167" fontId="9" fillId="0" borderId="0" xfId="1" applyNumberFormat="1" applyFont="1" applyBorder="1"/>
    <xf numFmtId="0" fontId="4" fillId="0" borderId="0" xfId="5" applyFont="1" applyFill="1" applyBorder="1" applyAlignment="1">
      <alignment horizontal="right"/>
    </xf>
    <xf numFmtId="0" fontId="11" fillId="4" borderId="10" xfId="6" applyFont="1" applyFill="1" applyBorder="1" applyAlignment="1">
      <alignment horizontal="center"/>
    </xf>
    <xf numFmtId="0" fontId="11" fillId="4" borderId="10" xfId="6" applyFont="1" applyFill="1" applyBorder="1" applyAlignment="1">
      <alignment horizontal="right"/>
    </xf>
    <xf numFmtId="164" fontId="9" fillId="4" borderId="6" xfId="2" applyNumberFormat="1" applyFont="1" applyFill="1" applyBorder="1"/>
    <xf numFmtId="0" fontId="11" fillId="4" borderId="1" xfId="6" applyFill="1" applyBorder="1" applyAlignment="1">
      <alignment horizontal="center"/>
    </xf>
    <xf numFmtId="0" fontId="11" fillId="4" borderId="12" xfId="6" applyFont="1" applyFill="1" applyBorder="1" applyAlignment="1">
      <alignment horizontal="center"/>
    </xf>
    <xf numFmtId="164" fontId="9" fillId="4" borderId="13" xfId="2" applyNumberFormat="1" applyFont="1" applyFill="1" applyBorder="1"/>
    <xf numFmtId="0" fontId="11" fillId="4" borderId="8" xfId="6" applyFont="1" applyFill="1" applyBorder="1" applyAlignment="1">
      <alignment horizontal="center"/>
    </xf>
    <xf numFmtId="165" fontId="4" fillId="0" borderId="0" xfId="0" applyNumberFormat="1" applyFont="1" applyAlignment="1">
      <alignment horizontal="right"/>
    </xf>
    <xf numFmtId="0" fontId="16" fillId="0" borderId="0" xfId="0" applyFont="1" applyAlignment="1">
      <alignment horizontal="center"/>
    </xf>
    <xf numFmtId="10" fontId="2" fillId="0" borderId="0" xfId="2" applyNumberFormat="1" applyFont="1"/>
    <xf numFmtId="10" fontId="2" fillId="0" borderId="0" xfId="2" applyNumberFormat="1"/>
    <xf numFmtId="9" fontId="0" fillId="0" borderId="0" xfId="0" applyNumberFormat="1"/>
    <xf numFmtId="166" fontId="2" fillId="0" borderId="0" xfId="1" applyFont="1"/>
    <xf numFmtId="0" fontId="16" fillId="0" borderId="0" xfId="0" applyFont="1"/>
    <xf numFmtId="0" fontId="0" fillId="6" borderId="2" xfId="0" applyFill="1" applyBorder="1"/>
    <xf numFmtId="0" fontId="9" fillId="6" borderId="14" xfId="6" applyFont="1" applyFill="1" applyBorder="1" applyAlignment="1">
      <alignment horizontal="center"/>
    </xf>
    <xf numFmtId="0" fontId="9" fillId="6" borderId="15" xfId="6" applyFont="1" applyFill="1" applyBorder="1" applyAlignment="1">
      <alignment horizontal="center"/>
    </xf>
    <xf numFmtId="0" fontId="0" fillId="6" borderId="5" xfId="0" applyFill="1" applyBorder="1"/>
    <xf numFmtId="0" fontId="11" fillId="6" borderId="16" xfId="6" applyFill="1" applyBorder="1" applyAlignment="1">
      <alignment horizontal="center"/>
    </xf>
    <xf numFmtId="0" fontId="11" fillId="6" borderId="17" xfId="6" applyFill="1" applyBorder="1" applyAlignment="1">
      <alignment horizontal="center"/>
    </xf>
    <xf numFmtId="0" fontId="15" fillId="0" borderId="0" xfId="0" applyFont="1" applyAlignment="1">
      <alignment horizontal="right"/>
    </xf>
    <xf numFmtId="0" fontId="11" fillId="6" borderId="16" xfId="6" applyFont="1" applyFill="1" applyBorder="1" applyAlignment="1">
      <alignment horizontal="center"/>
    </xf>
    <xf numFmtId="0" fontId="11" fillId="6" borderId="17" xfId="6" applyFont="1" applyFill="1" applyBorder="1" applyAlignment="1">
      <alignment horizontal="center"/>
    </xf>
    <xf numFmtId="0" fontId="11" fillId="0" borderId="0" xfId="6"/>
    <xf numFmtId="0" fontId="11" fillId="0" borderId="0" xfId="6" applyFont="1"/>
    <xf numFmtId="0" fontId="11" fillId="6" borderId="18" xfId="6" applyFont="1" applyFill="1" applyBorder="1" applyAlignment="1">
      <alignment horizontal="center"/>
    </xf>
    <xf numFmtId="0" fontId="11" fillId="6" borderId="19" xfId="6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5" fillId="0" borderId="0" xfId="6" applyFont="1" applyAlignment="1">
      <alignment horizontal="right"/>
    </xf>
    <xf numFmtId="0" fontId="11" fillId="0" borderId="0" xfId="6" applyFont="1" applyBorder="1"/>
    <xf numFmtId="0" fontId="0" fillId="6" borderId="7" xfId="0" applyFill="1" applyBorder="1"/>
    <xf numFmtId="0" fontId="0" fillId="6" borderId="5" xfId="0" applyFill="1" applyBorder="1" applyAlignment="1">
      <alignment horizontal="center"/>
    </xf>
    <xf numFmtId="0" fontId="15" fillId="0" borderId="0" xfId="6" applyFont="1" applyBorder="1"/>
    <xf numFmtId="0" fontId="0" fillId="6" borderId="7" xfId="0" applyFill="1" applyBorder="1" applyAlignment="1">
      <alignment horizontal="center"/>
    </xf>
    <xf numFmtId="0" fontId="15" fillId="0" borderId="9" xfId="6" applyFont="1" applyBorder="1" applyAlignment="1">
      <alignment horizontal="centerContinuous"/>
    </xf>
    <xf numFmtId="0" fontId="11" fillId="0" borderId="20" xfId="6" applyFont="1" applyBorder="1" applyAlignment="1">
      <alignment horizontal="centerContinuous"/>
    </xf>
    <xf numFmtId="0" fontId="15" fillId="0" borderId="21" xfId="6" applyFont="1" applyBorder="1" applyAlignment="1">
      <alignment horizontal="centerContinuous"/>
    </xf>
    <xf numFmtId="0" fontId="11" fillId="0" borderId="4" xfId="6" applyFont="1" applyBorder="1" applyAlignment="1">
      <alignment horizontal="centerContinuous"/>
    </xf>
    <xf numFmtId="0" fontId="15" fillId="0" borderId="4" xfId="6" applyFont="1" applyBorder="1" applyAlignment="1">
      <alignment horizontal="center"/>
    </xf>
    <xf numFmtId="0" fontId="0" fillId="6" borderId="14" xfId="0" applyFill="1" applyBorder="1"/>
    <xf numFmtId="0" fontId="0" fillId="6" borderId="15" xfId="0" applyFill="1" applyBorder="1"/>
    <xf numFmtId="0" fontId="2" fillId="6" borderId="14" xfId="0" applyFont="1" applyFill="1" applyBorder="1" applyAlignment="1">
      <alignment horizontal="right"/>
    </xf>
    <xf numFmtId="0" fontId="2" fillId="6" borderId="22" xfId="0" applyFont="1" applyFill="1" applyBorder="1" applyAlignment="1">
      <alignment horizontal="right"/>
    </xf>
    <xf numFmtId="0" fontId="2" fillId="6" borderId="17" xfId="0" applyFont="1" applyFill="1" applyBorder="1" applyAlignment="1">
      <alignment horizontal="right"/>
    </xf>
    <xf numFmtId="0" fontId="15" fillId="0" borderId="23" xfId="6" applyFont="1" applyBorder="1" applyAlignment="1">
      <alignment horizontal="right"/>
    </xf>
    <xf numFmtId="0" fontId="17" fillId="0" borderId="22" xfId="6" applyFont="1" applyBorder="1"/>
    <xf numFmtId="0" fontId="15" fillId="0" borderId="14" xfId="6" applyFont="1" applyBorder="1" applyAlignment="1">
      <alignment horizontal="right"/>
    </xf>
    <xf numFmtId="0" fontId="17" fillId="0" borderId="24" xfId="6" applyFont="1" applyBorder="1"/>
    <xf numFmtId="0" fontId="17" fillId="0" borderId="25" xfId="6" applyFont="1" applyBorder="1"/>
    <xf numFmtId="0" fontId="17" fillId="0" borderId="13" xfId="6" applyFont="1" applyBorder="1" applyAlignment="1">
      <alignment horizontal="center"/>
    </xf>
    <xf numFmtId="0" fontId="0" fillId="6" borderId="16" xfId="0" applyFill="1" applyBorder="1"/>
    <xf numFmtId="0" fontId="0" fillId="6" borderId="17" xfId="0" applyFill="1" applyBorder="1"/>
    <xf numFmtId="0" fontId="2" fillId="6" borderId="16" xfId="0" applyFont="1" applyFill="1" applyBorder="1" applyAlignment="1">
      <alignment horizontal="right"/>
    </xf>
    <xf numFmtId="0" fontId="2" fillId="6" borderId="0" xfId="0" applyFont="1" applyFill="1" applyBorder="1" applyAlignment="1">
      <alignment horizontal="right"/>
    </xf>
    <xf numFmtId="0" fontId="15" fillId="0" borderId="12" xfId="6" applyFont="1" applyBorder="1" applyAlignment="1">
      <alignment horizontal="right"/>
    </xf>
    <xf numFmtId="0" fontId="17" fillId="0" borderId="11" xfId="6" applyFont="1" applyBorder="1"/>
    <xf numFmtId="0" fontId="15" fillId="0" borderId="26" xfId="6" applyFont="1" applyBorder="1" applyAlignment="1">
      <alignment horizontal="right"/>
    </xf>
    <xf numFmtId="0" fontId="17" fillId="0" borderId="13" xfId="6" applyFont="1" applyBorder="1"/>
    <xf numFmtId="0" fontId="17" fillId="0" borderId="27" xfId="6" applyFont="1" applyBorder="1"/>
    <xf numFmtId="0" fontId="7" fillId="6" borderId="17" xfId="0" applyFont="1" applyFill="1" applyBorder="1" applyAlignment="1">
      <alignment horizontal="center"/>
    </xf>
    <xf numFmtId="0" fontId="2" fillId="6" borderId="16" xfId="0" applyFont="1" applyFill="1" applyBorder="1"/>
    <xf numFmtId="0" fontId="2" fillId="6" borderId="5" xfId="0" applyFont="1" applyFill="1" applyBorder="1"/>
    <xf numFmtId="0" fontId="0" fillId="6" borderId="0" xfId="0" applyFill="1" applyBorder="1"/>
    <xf numFmtId="0" fontId="4" fillId="6" borderId="16" xfId="0" applyFont="1" applyFill="1" applyBorder="1"/>
    <xf numFmtId="0" fontId="4" fillId="6" borderId="0" xfId="0" applyFont="1" applyFill="1" applyBorder="1"/>
    <xf numFmtId="0" fontId="4" fillId="6" borderId="17" xfId="0" applyFont="1" applyFill="1" applyBorder="1"/>
    <xf numFmtId="0" fontId="4" fillId="6" borderId="0" xfId="0" applyFont="1" applyFill="1" applyBorder="1" applyAlignment="1">
      <alignment horizontal="right"/>
    </xf>
    <xf numFmtId="0" fontId="0" fillId="6" borderId="18" xfId="0" applyFill="1" applyBorder="1"/>
    <xf numFmtId="0" fontId="0" fillId="6" borderId="19" xfId="0" applyFill="1" applyBorder="1"/>
    <xf numFmtId="0" fontId="0" fillId="6" borderId="28" xfId="0" applyFill="1" applyBorder="1"/>
    <xf numFmtId="9" fontId="15" fillId="0" borderId="0" xfId="6" applyNumberFormat="1" applyFont="1"/>
    <xf numFmtId="0" fontId="11" fillId="0" borderId="14" xfId="6" applyFont="1" applyBorder="1"/>
    <xf numFmtId="166" fontId="15" fillId="0" borderId="22" xfId="1" applyFont="1" applyBorder="1"/>
    <xf numFmtId="166" fontId="11" fillId="0" borderId="22" xfId="6" applyNumberFormat="1" applyFont="1" applyBorder="1"/>
    <xf numFmtId="0" fontId="11" fillId="0" borderId="22" xfId="6" applyFont="1" applyBorder="1"/>
    <xf numFmtId="0" fontId="0" fillId="0" borderId="22" xfId="0" applyBorder="1"/>
    <xf numFmtId="0" fontId="0" fillId="0" borderId="15" xfId="0" applyBorder="1"/>
    <xf numFmtId="166" fontId="15" fillId="0" borderId="15" xfId="1" applyFont="1" applyBorder="1" applyAlignment="1">
      <alignment horizontal="right"/>
    </xf>
    <xf numFmtId="0" fontId="0" fillId="0" borderId="16" xfId="0" applyBorder="1"/>
    <xf numFmtId="1" fontId="11" fillId="0" borderId="0" xfId="6" applyNumberFormat="1" applyBorder="1"/>
    <xf numFmtId="1" fontId="11" fillId="0" borderId="17" xfId="6" applyNumberFormat="1" applyBorder="1"/>
    <xf numFmtId="0" fontId="0" fillId="0" borderId="18" xfId="0" applyBorder="1"/>
    <xf numFmtId="1" fontId="11" fillId="0" borderId="16" xfId="6" applyNumberFormat="1" applyFont="1" applyBorder="1" applyAlignment="1">
      <alignment horizontal="right"/>
    </xf>
    <xf numFmtId="171" fontId="18" fillId="7" borderId="14" xfId="6" applyNumberFormat="1" applyFont="1" applyFill="1" applyBorder="1"/>
    <xf numFmtId="171" fontId="18" fillId="7" borderId="22" xfId="6" applyNumberFormat="1" applyFont="1" applyFill="1" applyBorder="1"/>
    <xf numFmtId="171" fontId="18" fillId="7" borderId="15" xfId="6" applyNumberFormat="1" applyFont="1" applyFill="1" applyBorder="1"/>
    <xf numFmtId="1" fontId="11" fillId="0" borderId="16" xfId="6" applyNumberFormat="1" applyFont="1" applyBorder="1" applyAlignment="1">
      <alignment horizontal="center"/>
    </xf>
    <xf numFmtId="171" fontId="18" fillId="7" borderId="2" xfId="6" applyNumberFormat="1" applyFont="1" applyFill="1" applyBorder="1"/>
    <xf numFmtId="171" fontId="18" fillId="7" borderId="16" xfId="6" applyNumberFormat="1" applyFont="1" applyFill="1" applyBorder="1"/>
    <xf numFmtId="171" fontId="18" fillId="7" borderId="0" xfId="6" applyNumberFormat="1" applyFont="1" applyFill="1" applyBorder="1"/>
    <xf numFmtId="171" fontId="18" fillId="7" borderId="17" xfId="6" applyNumberFormat="1" applyFont="1" applyFill="1" applyBorder="1"/>
    <xf numFmtId="171" fontId="18" fillId="7" borderId="5" xfId="6" applyNumberFormat="1" applyFont="1" applyFill="1" applyBorder="1"/>
    <xf numFmtId="0" fontId="0" fillId="0" borderId="29" xfId="0" applyBorder="1"/>
    <xf numFmtId="0" fontId="15" fillId="0" borderId="30" xfId="6" applyFont="1" applyBorder="1" applyAlignment="1">
      <alignment horizontal="right"/>
    </xf>
    <xf numFmtId="0" fontId="17" fillId="0" borderId="31" xfId="6" applyFont="1" applyBorder="1"/>
    <xf numFmtId="0" fontId="15" fillId="0" borderId="10" xfId="6" applyFont="1" applyBorder="1" applyAlignment="1">
      <alignment horizontal="right"/>
    </xf>
    <xf numFmtId="9" fontId="17" fillId="0" borderId="6" xfId="6" applyNumberFormat="1" applyFont="1" applyBorder="1"/>
    <xf numFmtId="9" fontId="17" fillId="0" borderId="13" xfId="6" applyNumberFormat="1" applyFont="1" applyBorder="1"/>
    <xf numFmtId="1" fontId="11" fillId="0" borderId="18" xfId="6" applyNumberFormat="1" applyFont="1" applyBorder="1" applyAlignment="1">
      <alignment horizontal="right"/>
    </xf>
    <xf numFmtId="171" fontId="18" fillId="7" borderId="18" xfId="6" applyNumberFormat="1" applyFont="1" applyFill="1" applyBorder="1"/>
    <xf numFmtId="171" fontId="18" fillId="7" borderId="28" xfId="6" applyNumberFormat="1" applyFont="1" applyFill="1" applyBorder="1"/>
    <xf numFmtId="171" fontId="18" fillId="7" borderId="19" xfId="6" applyNumberFormat="1" applyFont="1" applyFill="1" applyBorder="1"/>
    <xf numFmtId="0" fontId="0" fillId="0" borderId="14" xfId="0" applyBorder="1"/>
    <xf numFmtId="10" fontId="11" fillId="0" borderId="0" xfId="2" applyNumberFormat="1" applyFont="1" applyBorder="1"/>
    <xf numFmtId="10" fontId="11" fillId="0" borderId="17" xfId="2" applyNumberFormat="1" applyFont="1" applyBorder="1"/>
    <xf numFmtId="1" fontId="0" fillId="0" borderId="16" xfId="0" applyNumberFormat="1" applyBorder="1"/>
    <xf numFmtId="1" fontId="11" fillId="0" borderId="18" xfId="6" applyNumberFormat="1" applyFont="1" applyBorder="1" applyAlignment="1">
      <alignment horizontal="center"/>
    </xf>
    <xf numFmtId="171" fontId="18" fillId="7" borderId="7" xfId="6" applyNumberFormat="1" applyFont="1" applyFill="1" applyBorder="1"/>
    <xf numFmtId="1" fontId="0" fillId="0" borderId="18" xfId="0" applyNumberFormat="1" applyBorder="1"/>
    <xf numFmtId="165" fontId="1" fillId="3" borderId="5" xfId="4" applyNumberFormat="1" applyBorder="1"/>
    <xf numFmtId="167" fontId="1" fillId="3" borderId="5" xfId="4" applyNumberFormat="1" applyBorder="1"/>
    <xf numFmtId="164" fontId="19" fillId="8" borderId="5" xfId="4" applyNumberFormat="1" applyFont="1" applyFill="1" applyBorder="1"/>
    <xf numFmtId="0" fontId="20" fillId="0" borderId="0" xfId="0" applyFont="1" applyAlignment="1">
      <alignment horizontal="center"/>
    </xf>
    <xf numFmtId="0" fontId="22" fillId="0" borderId="0" xfId="0" applyFont="1"/>
    <xf numFmtId="0" fontId="4" fillId="9" borderId="0" xfId="0" applyFont="1" applyFill="1" applyBorder="1" applyAlignment="1">
      <alignment horizontal="right"/>
    </xf>
    <xf numFmtId="0" fontId="0" fillId="9" borderId="0" xfId="0" applyFill="1" applyBorder="1"/>
    <xf numFmtId="179" fontId="0" fillId="9" borderId="0" xfId="0" applyNumberFormat="1" applyFill="1" applyBorder="1"/>
    <xf numFmtId="166" fontId="0" fillId="9" borderId="0" xfId="0" applyNumberFormat="1" applyFill="1" applyBorder="1"/>
    <xf numFmtId="0" fontId="19" fillId="8" borderId="29" xfId="0" applyFont="1" applyFill="1" applyBorder="1" applyAlignment="1">
      <alignment horizontal="center"/>
    </xf>
    <xf numFmtId="0" fontId="19" fillId="8" borderId="30" xfId="0" applyFont="1" applyFill="1" applyBorder="1" applyAlignment="1">
      <alignment horizontal="center"/>
    </xf>
    <xf numFmtId="0" fontId="19" fillId="8" borderId="30" xfId="3" applyFont="1" applyFill="1" applyBorder="1" applyAlignment="1">
      <alignment horizontal="center"/>
    </xf>
    <xf numFmtId="0" fontId="19" fillId="8" borderId="31" xfId="0" applyFont="1" applyFill="1" applyBorder="1" applyAlignment="1">
      <alignment horizontal="center"/>
    </xf>
    <xf numFmtId="0" fontId="4" fillId="0" borderId="10" xfId="0" applyFont="1" applyBorder="1" applyAlignment="1">
      <alignment horizontal="right"/>
    </xf>
    <xf numFmtId="175" fontId="1" fillId="9" borderId="6" xfId="4" applyNumberFormat="1" applyFill="1" applyBorder="1" applyAlignment="1">
      <alignment horizontal="left"/>
    </xf>
    <xf numFmtId="0" fontId="13" fillId="9" borderId="10" xfId="0" applyFont="1" applyFill="1" applyBorder="1" applyAlignment="1">
      <alignment horizontal="center"/>
    </xf>
    <xf numFmtId="0" fontId="13" fillId="9" borderId="6" xfId="0" applyFont="1" applyFill="1" applyBorder="1" applyAlignment="1">
      <alignment horizontal="center"/>
    </xf>
    <xf numFmtId="0" fontId="4" fillId="0" borderId="10" xfId="5" applyFont="1" applyBorder="1" applyAlignment="1">
      <alignment horizontal="right"/>
    </xf>
    <xf numFmtId="165" fontId="1" fillId="9" borderId="6" xfId="4" applyNumberFormat="1" applyFill="1" applyBorder="1" applyAlignment="1">
      <alignment horizontal="left"/>
    </xf>
    <xf numFmtId="177" fontId="1" fillId="9" borderId="6" xfId="4" applyNumberFormat="1" applyFill="1" applyBorder="1" applyAlignment="1">
      <alignment horizontal="left"/>
    </xf>
    <xf numFmtId="167" fontId="1" fillId="9" borderId="6" xfId="4" applyNumberFormat="1" applyFill="1" applyBorder="1" applyAlignment="1">
      <alignment horizontal="center"/>
    </xf>
    <xf numFmtId="0" fontId="2" fillId="0" borderId="10" xfId="0" applyFont="1" applyBorder="1"/>
    <xf numFmtId="167" fontId="9" fillId="9" borderId="6" xfId="1" applyNumberFormat="1" applyFont="1" applyFill="1" applyBorder="1" applyAlignment="1">
      <alignment horizontal="left"/>
    </xf>
    <xf numFmtId="169" fontId="1" fillId="9" borderId="6" xfId="4" applyNumberFormat="1" applyFill="1" applyBorder="1" applyAlignment="1">
      <alignment horizontal="left"/>
    </xf>
    <xf numFmtId="0" fontId="0" fillId="9" borderId="6" xfId="0" applyFill="1" applyBorder="1"/>
    <xf numFmtId="0" fontId="14" fillId="0" borderId="10" xfId="5" applyFont="1" applyBorder="1" applyAlignment="1">
      <alignment horizontal="right"/>
    </xf>
    <xf numFmtId="4" fontId="9" fillId="9" borderId="6" xfId="5" applyNumberFormat="1" applyFont="1" applyFill="1" applyBorder="1" applyAlignment="1">
      <alignment horizontal="left"/>
    </xf>
    <xf numFmtId="165" fontId="15" fillId="9" borderId="6" xfId="5" applyNumberFormat="1" applyFont="1" applyFill="1" applyBorder="1" applyAlignment="1">
      <alignment horizontal="left"/>
    </xf>
    <xf numFmtId="0" fontId="14" fillId="0" borderId="12" xfId="5" applyFont="1" applyBorder="1" applyAlignment="1">
      <alignment horizontal="right"/>
    </xf>
    <xf numFmtId="10" fontId="15" fillId="9" borderId="13" xfId="2" applyNumberFormat="1" applyFont="1" applyFill="1" applyBorder="1" applyAlignment="1">
      <alignment horizontal="left"/>
    </xf>
    <xf numFmtId="0" fontId="19" fillId="8" borderId="29" xfId="4" applyFont="1" applyFill="1" applyBorder="1" applyAlignment="1">
      <alignment horizontal="center"/>
    </xf>
    <xf numFmtId="0" fontId="19" fillId="8" borderId="31" xfId="4" applyFont="1" applyFill="1" applyBorder="1" applyAlignment="1">
      <alignment horizontal="center"/>
    </xf>
    <xf numFmtId="0" fontId="4" fillId="9" borderId="10" xfId="0" applyFont="1" applyFill="1" applyBorder="1" applyAlignment="1">
      <alignment horizontal="right"/>
    </xf>
    <xf numFmtId="0" fontId="4" fillId="9" borderId="10" xfId="5" applyFont="1" applyFill="1" applyBorder="1" applyAlignment="1">
      <alignment horizontal="right"/>
    </xf>
    <xf numFmtId="0" fontId="14" fillId="9" borderId="10" xfId="5" applyFont="1" applyFill="1" applyBorder="1" applyAlignment="1">
      <alignment horizontal="right"/>
    </xf>
    <xf numFmtId="0" fontId="2" fillId="9" borderId="12" xfId="0" applyFont="1" applyFill="1" applyBorder="1"/>
    <xf numFmtId="169" fontId="0" fillId="9" borderId="13" xfId="0" applyNumberFormat="1" applyFill="1" applyBorder="1"/>
    <xf numFmtId="0" fontId="19" fillId="8" borderId="29" xfId="3" applyFont="1" applyFill="1" applyBorder="1" applyAlignment="1">
      <alignment horizontal="center"/>
    </xf>
    <xf numFmtId="0" fontId="0" fillId="9" borderId="10" xfId="0" applyFill="1" applyBorder="1"/>
    <xf numFmtId="0" fontId="0" fillId="9" borderId="12" xfId="0" applyFill="1" applyBorder="1"/>
    <xf numFmtId="0" fontId="0" fillId="9" borderId="13" xfId="0" applyFill="1" applyBorder="1"/>
    <xf numFmtId="167" fontId="1" fillId="9" borderId="6" xfId="4" applyNumberFormat="1" applyFill="1" applyBorder="1" applyAlignment="1">
      <alignment horizontal="left"/>
    </xf>
    <xf numFmtId="168" fontId="1" fillId="9" borderId="6" xfId="4" applyNumberFormat="1" applyFill="1" applyBorder="1" applyAlignment="1">
      <alignment horizontal="left"/>
    </xf>
    <xf numFmtId="10" fontId="9" fillId="9" borderId="6" xfId="2" applyNumberFormat="1" applyFont="1" applyFill="1" applyBorder="1" applyAlignment="1">
      <alignment horizontal="left"/>
    </xf>
    <xf numFmtId="178" fontId="9" fillId="9" borderId="6" xfId="1" applyNumberFormat="1" applyFont="1" applyFill="1" applyBorder="1" applyAlignment="1">
      <alignment horizontal="left"/>
    </xf>
    <xf numFmtId="10" fontId="15" fillId="9" borderId="6" xfId="2" applyNumberFormat="1" applyFont="1" applyFill="1" applyBorder="1" applyAlignment="1">
      <alignment horizontal="left"/>
    </xf>
    <xf numFmtId="165" fontId="21" fillId="9" borderId="6" xfId="0" applyNumberFormat="1" applyFont="1" applyFill="1" applyBorder="1" applyAlignment="1">
      <alignment horizontal="left"/>
    </xf>
    <xf numFmtId="164" fontId="21" fillId="9" borderId="6" xfId="2" applyNumberFormat="1" applyFont="1" applyFill="1" applyBorder="1" applyAlignment="1">
      <alignment horizontal="left"/>
    </xf>
    <xf numFmtId="175" fontId="21" fillId="9" borderId="6" xfId="2" applyNumberFormat="1" applyFont="1" applyFill="1" applyBorder="1" applyAlignment="1">
      <alignment horizontal="left"/>
    </xf>
    <xf numFmtId="10" fontId="23" fillId="9" borderId="6" xfId="2" applyNumberFormat="1" applyFont="1" applyFill="1" applyBorder="1" applyAlignment="1">
      <alignment horizontal="left"/>
    </xf>
    <xf numFmtId="10" fontId="21" fillId="9" borderId="6" xfId="2" applyNumberFormat="1" applyFont="1" applyFill="1" applyBorder="1" applyAlignment="1">
      <alignment horizontal="left"/>
    </xf>
    <xf numFmtId="0" fontId="0" fillId="9" borderId="11" xfId="0" applyFill="1" applyBorder="1"/>
    <xf numFmtId="168" fontId="1" fillId="9" borderId="0" xfId="3" applyNumberFormat="1" applyFill="1" applyBorder="1" applyAlignment="1">
      <alignment horizontal="left"/>
    </xf>
    <xf numFmtId="169" fontId="1" fillId="9" borderId="0" xfId="3" applyNumberFormat="1" applyFill="1" applyBorder="1" applyAlignment="1">
      <alignment horizontal="left"/>
    </xf>
    <xf numFmtId="172" fontId="1" fillId="9" borderId="0" xfId="3" applyNumberFormat="1" applyFill="1" applyBorder="1" applyAlignment="1">
      <alignment horizontal="left"/>
    </xf>
    <xf numFmtId="167" fontId="1" fillId="9" borderId="0" xfId="3" applyNumberFormat="1" applyFill="1" applyBorder="1" applyAlignment="1">
      <alignment horizontal="left"/>
    </xf>
    <xf numFmtId="165" fontId="1" fillId="9" borderId="0" xfId="3" applyNumberFormat="1" applyFill="1" applyBorder="1" applyAlignment="1">
      <alignment horizontal="left"/>
    </xf>
    <xf numFmtId="167" fontId="1" fillId="9" borderId="0" xfId="3" applyNumberFormat="1" applyFill="1" applyBorder="1" applyAlignment="1"/>
    <xf numFmtId="10" fontId="1" fillId="9" borderId="0" xfId="3" applyNumberFormat="1" applyFill="1" applyBorder="1" applyAlignment="1">
      <alignment horizontal="left"/>
    </xf>
    <xf numFmtId="166" fontId="21" fillId="9" borderId="6" xfId="1" applyNumberFormat="1" applyFont="1" applyFill="1" applyBorder="1" applyAlignment="1"/>
    <xf numFmtId="167" fontId="21" fillId="9" borderId="6" xfId="1" applyNumberFormat="1" applyFont="1" applyFill="1" applyBorder="1" applyAlignment="1"/>
    <xf numFmtId="170" fontId="21" fillId="9" borderId="6" xfId="1" applyNumberFormat="1" applyFont="1" applyFill="1" applyBorder="1" applyAlignment="1"/>
    <xf numFmtId="0" fontId="4" fillId="0" borderId="12" xfId="0" applyFont="1" applyBorder="1" applyAlignment="1">
      <alignment horizontal="right"/>
    </xf>
    <xf numFmtId="170" fontId="21" fillId="9" borderId="13" xfId="1" applyNumberFormat="1" applyFont="1" applyFill="1" applyBorder="1" applyAlignment="1"/>
    <xf numFmtId="0" fontId="24" fillId="11" borderId="10" xfId="0" applyFont="1" applyFill="1" applyBorder="1" applyAlignment="1">
      <alignment horizontal="center"/>
    </xf>
    <xf numFmtId="0" fontId="24" fillId="11" borderId="6" xfId="0" applyFont="1" applyFill="1" applyBorder="1" applyAlignment="1">
      <alignment horizontal="center"/>
    </xf>
    <xf numFmtId="0" fontId="19" fillId="8" borderId="29" xfId="4" applyFont="1" applyFill="1" applyBorder="1" applyAlignment="1">
      <alignment horizontal="center" vertical="center"/>
    </xf>
    <xf numFmtId="0" fontId="19" fillId="8" borderId="31" xfId="4" applyFont="1" applyFill="1" applyBorder="1" applyAlignment="1">
      <alignment horizontal="center" vertical="center"/>
    </xf>
    <xf numFmtId="172" fontId="4" fillId="8" borderId="5" xfId="0" applyNumberFormat="1" applyFont="1" applyFill="1" applyBorder="1" applyAlignment="1">
      <alignment horizontal="center"/>
    </xf>
    <xf numFmtId="173" fontId="4" fillId="8" borderId="5" xfId="0" applyNumberFormat="1" applyFont="1" applyFill="1" applyBorder="1" applyAlignment="1">
      <alignment horizontal="center"/>
    </xf>
    <xf numFmtId="165" fontId="4" fillId="10" borderId="2" xfId="0" applyNumberFormat="1" applyFont="1" applyFill="1" applyBorder="1"/>
    <xf numFmtId="165" fontId="4" fillId="10" borderId="5" xfId="0" applyNumberFormat="1" applyFont="1" applyFill="1" applyBorder="1"/>
    <xf numFmtId="0" fontId="25" fillId="8" borderId="0" xfId="0" applyFont="1" applyFill="1" applyAlignment="1">
      <alignment horizontal="center"/>
    </xf>
    <xf numFmtId="0" fontId="22" fillId="0" borderId="0" xfId="0" applyFont="1" applyAlignment="1">
      <alignment horizontal="center"/>
    </xf>
  </cellXfs>
  <cellStyles count="7">
    <cellStyle name="20% - Accent2" xfId="3" builtinId="34"/>
    <cellStyle name="20% - Accent3" xfId="4" builtinId="38"/>
    <cellStyle name="Comma" xfId="1" builtinId="3"/>
    <cellStyle name="Normal" xfId="0" builtinId="0"/>
    <cellStyle name="Normal_ANALY.XLS" xfId="6"/>
    <cellStyle name="Normal_PowerTrader1.0.XLS" xfId="5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9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705695176708149"/>
          <c:y val="2.77264575569489E-2"/>
          <c:w val="0.80602072502476108"/>
          <c:h val="0.89464036383755108"/>
        </c:manualLayout>
      </c:layout>
      <c:surface3DChart>
        <c:wireframe val="0"/>
        <c:ser>
          <c:idx val="0"/>
          <c:order val="0"/>
          <c:tx>
            <c:strRef>
              <c:f>Graphic!$T$40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Graphic!$U$40:$AO$40</c:f>
              <c:numCache>
                <c:formatCode>#,##0.0000</c:formatCode>
                <c:ptCount val="21"/>
                <c:pt idx="0">
                  <c:v>-4.0105875411361061E-112</c:v>
                </c:pt>
                <c:pt idx="1">
                  <c:v>-2.8940803204528928E-12</c:v>
                </c:pt>
                <c:pt idx="2">
                  <c:v>-4.1960203315680267E-7</c:v>
                </c:pt>
                <c:pt idx="3">
                  <c:v>-2.6670737165306587E-5</c:v>
                </c:pt>
                <c:pt idx="4">
                  <c:v>-2.1376630675258167E-4</c:v>
                </c:pt>
                <c:pt idx="5">
                  <c:v>-7.3404664084177854E-4</c:v>
                </c:pt>
                <c:pt idx="6">
                  <c:v>-1.6434446039317991E-3</c:v>
                </c:pt>
                <c:pt idx="7">
                  <c:v>-2.879585833518588E-3</c:v>
                </c:pt>
                <c:pt idx="8">
                  <c:v>-4.3290519876190182E-3</c:v>
                </c:pt>
                <c:pt idx="9">
                  <c:v>-5.8777651730307738E-3</c:v>
                </c:pt>
                <c:pt idx="10">
                  <c:v>-7.432980867004715E-3</c:v>
                </c:pt>
                <c:pt idx="11">
                  <c:v>-8.9279202632959968E-3</c:v>
                </c:pt>
                <c:pt idx="12">
                  <c:v>-1.0318891122454306E-2</c:v>
                </c:pt>
                <c:pt idx="13">
                  <c:v>-1.158023290216724E-2</c:v>
                </c:pt>
                <c:pt idx="14">
                  <c:v>-1.2699380063813222E-2</c:v>
                </c:pt>
                <c:pt idx="15">
                  <c:v>-1.3672804744134213E-2</c:v>
                </c:pt>
                <c:pt idx="16">
                  <c:v>-1.4502942605624999E-2</c:v>
                </c:pt>
                <c:pt idx="17">
                  <c:v>-1.5195970206960169E-2</c:v>
                </c:pt>
                <c:pt idx="18">
                  <c:v>-1.5760247829536958E-2</c:v>
                </c:pt>
                <c:pt idx="19">
                  <c:v>-1.6205255447401423E-2</c:v>
                </c:pt>
                <c:pt idx="20">
                  <c:v>-1.6540882856393477E-2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C-427E-8591-E42EC71173C3}"/>
            </c:ext>
          </c:extLst>
        </c:ser>
        <c:ser>
          <c:idx val="1"/>
          <c:order val="1"/>
          <c:tx>
            <c:strRef>
              <c:f>Graphic!$T$41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9933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Graphic!$U$41:$AO$41</c:f>
              <c:numCache>
                <c:formatCode>#,##0.0000</c:formatCode>
                <c:ptCount val="21"/>
                <c:pt idx="0">
                  <c:v>-1.6207552046102726E-85</c:v>
                </c:pt>
                <c:pt idx="1">
                  <c:v>-1.0632324000293602E-9</c:v>
                </c:pt>
                <c:pt idx="2">
                  <c:v>-8.221419210517946E-6</c:v>
                </c:pt>
                <c:pt idx="3">
                  <c:v>-1.830785879119853E-4</c:v>
                </c:pt>
                <c:pt idx="4">
                  <c:v>-8.5515267507982676E-4</c:v>
                </c:pt>
                <c:pt idx="5">
                  <c:v>-2.1115809665811758E-3</c:v>
                </c:pt>
                <c:pt idx="6">
                  <c:v>-3.7832972689445087E-3</c:v>
                </c:pt>
                <c:pt idx="7">
                  <c:v>-5.6430427025313812E-3</c:v>
                </c:pt>
                <c:pt idx="8">
                  <c:v>-7.5082146052639432E-3</c:v>
                </c:pt>
                <c:pt idx="9">
                  <c:v>-9.2603931557982185E-3</c:v>
                </c:pt>
                <c:pt idx="10">
                  <c:v>-1.0834088584402889E-2</c:v>
                </c:pt>
                <c:pt idx="11">
                  <c:v>-1.220028700928423E-2</c:v>
                </c:pt>
                <c:pt idx="12">
                  <c:v>-1.3352819274035524E-2</c:v>
                </c:pt>
                <c:pt idx="13">
                  <c:v>-1.4298793366934171E-2</c:v>
                </c:pt>
                <c:pt idx="14">
                  <c:v>-1.5052380149556148E-2</c:v>
                </c:pt>
                <c:pt idx="15">
                  <c:v>-1.5630964600816685E-2</c:v>
                </c:pt>
                <c:pt idx="16">
                  <c:v>-1.6052853913276169E-2</c:v>
                </c:pt>
                <c:pt idx="17">
                  <c:v>-1.6335972290442546E-2</c:v>
                </c:pt>
                <c:pt idx="18">
                  <c:v>-1.6497165594175321E-2</c:v>
                </c:pt>
                <c:pt idx="19">
                  <c:v>-1.6551874842804078E-2</c:v>
                </c:pt>
                <c:pt idx="20">
                  <c:v>-1.6514027369381044E-2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C-427E-8591-E42EC71173C3}"/>
            </c:ext>
          </c:extLst>
        </c:ser>
        <c:ser>
          <c:idx val="2"/>
          <c:order val="2"/>
          <c:tx>
            <c:strRef>
              <c:f>Graphic!$T$42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FF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Graphic!$U$42:$AO$42</c:f>
              <c:numCache>
                <c:formatCode>#,##0.0000</c:formatCode>
                <c:ptCount val="21"/>
                <c:pt idx="0">
                  <c:v>-4.0347560117962192E-63</c:v>
                </c:pt>
                <c:pt idx="1">
                  <c:v>-1.4550984401165192E-7</c:v>
                </c:pt>
                <c:pt idx="2">
                  <c:v>-9.5055472886124455E-5</c:v>
                </c:pt>
                <c:pt idx="3">
                  <c:v>-8.7358986855246392E-4</c:v>
                </c:pt>
                <c:pt idx="4">
                  <c:v>-2.5856394181477953E-3</c:v>
                </c:pt>
                <c:pt idx="5">
                  <c:v>-4.8292141335700631E-3</c:v>
                </c:pt>
                <c:pt idx="6">
                  <c:v>-7.1613871915635497E-3</c:v>
                </c:pt>
                <c:pt idx="7">
                  <c:v>-9.3127897247071122E-3</c:v>
                </c:pt>
                <c:pt idx="8">
                  <c:v>-1.1162011105076787E-2</c:v>
                </c:pt>
                <c:pt idx="9">
                  <c:v>-1.2675614511520439E-2</c:v>
                </c:pt>
                <c:pt idx="10">
                  <c:v>-1.3864811035641609E-2</c:v>
                </c:pt>
                <c:pt idx="11">
                  <c:v>-1.4760375754845312E-2</c:v>
                </c:pt>
                <c:pt idx="12">
                  <c:v>-1.539945787921765E-2</c:v>
                </c:pt>
                <c:pt idx="13">
                  <c:v>-1.5819126463379581E-2</c:v>
                </c:pt>
                <c:pt idx="14">
                  <c:v>-1.6053502100298031E-2</c:v>
                </c:pt>
                <c:pt idx="15">
                  <c:v>-1.6132721858019072E-2</c:v>
                </c:pt>
                <c:pt idx="16">
                  <c:v>-1.6082800712124871E-2</c:v>
                </c:pt>
                <c:pt idx="17">
                  <c:v>-1.5925900620911693E-2</c:v>
                </c:pt>
                <c:pt idx="18">
                  <c:v>-1.5680757816898191E-2</c:v>
                </c:pt>
                <c:pt idx="19">
                  <c:v>-1.5363145136538645E-2</c:v>
                </c:pt>
                <c:pt idx="20">
                  <c:v>-1.4986312043478922E-2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C-427E-8591-E42EC71173C3}"/>
            </c:ext>
          </c:extLst>
        </c:ser>
        <c:ser>
          <c:idx val="3"/>
          <c:order val="3"/>
          <c:tx>
            <c:strRef>
              <c:f>Graphic!$T$43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CC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Graphic!$U$43:$AO$43</c:f>
              <c:numCache>
                <c:formatCode>#,##0.0000</c:formatCode>
                <c:ptCount val="21"/>
                <c:pt idx="0">
                  <c:v>-1.2261050059841199E-44</c:v>
                </c:pt>
                <c:pt idx="1">
                  <c:v>-7.8998120482734627E-6</c:v>
                </c:pt>
                <c:pt idx="2">
                  <c:v>-6.6803431417302491E-4</c:v>
                </c:pt>
                <c:pt idx="3">
                  <c:v>-2.9486410195808054E-3</c:v>
                </c:pt>
                <c:pt idx="4">
                  <c:v>-5.9738730539703475E-3</c:v>
                </c:pt>
                <c:pt idx="5">
                  <c:v>-8.8398444014028948E-3</c:v>
                </c:pt>
                <c:pt idx="6">
                  <c:v>-1.1187161367149971E-2</c:v>
                </c:pt>
                <c:pt idx="7">
                  <c:v>-1.2958675260469739E-2</c:v>
                </c:pt>
                <c:pt idx="8">
                  <c:v>-1.4211819392308544E-2</c:v>
                </c:pt>
                <c:pt idx="9">
                  <c:v>-1.5034009800731638E-2</c:v>
                </c:pt>
                <c:pt idx="10">
                  <c:v>-1.5510643046263158E-2</c:v>
                </c:pt>
                <c:pt idx="11">
                  <c:v>-1.5715125548102119E-2</c:v>
                </c:pt>
                <c:pt idx="12">
                  <c:v>-1.5707341392361556E-2</c:v>
                </c:pt>
                <c:pt idx="13">
                  <c:v>-1.553500736901805E-2</c:v>
                </c:pt>
                <c:pt idx="14">
                  <c:v>-1.5235753863059087E-2</c:v>
                </c:pt>
                <c:pt idx="15">
                  <c:v>-1.483914633688568E-2</c:v>
                </c:pt>
                <c:pt idx="16">
                  <c:v>-1.436840691781328E-2</c:v>
                </c:pt>
                <c:pt idx="17">
                  <c:v>-1.3841802104452773E-2</c:v>
                </c:pt>
                <c:pt idx="18">
                  <c:v>-1.327373308146528E-2</c:v>
                </c:pt>
                <c:pt idx="19">
                  <c:v>-1.2675582378874785E-2</c:v>
                </c:pt>
                <c:pt idx="20">
                  <c:v>-1.2056368399211244E-2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C-427E-8591-E42EC71173C3}"/>
            </c:ext>
          </c:extLst>
        </c:ser>
        <c:ser>
          <c:idx val="4"/>
          <c:order val="4"/>
          <c:tx>
            <c:strRef>
              <c:f>Graphic!$T$44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6600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Graphic!$U$44:$AO$44</c:f>
              <c:numCache>
                <c:formatCode>#,##0.0000</c:formatCode>
                <c:ptCount val="21"/>
                <c:pt idx="0">
                  <c:v>-8.4521664182916231E-30</c:v>
                </c:pt>
                <c:pt idx="1">
                  <c:v>-1.7938709114635802E-4</c:v>
                </c:pt>
                <c:pt idx="2">
                  <c:v>-2.9177321957001507E-3</c:v>
                </c:pt>
                <c:pt idx="3">
                  <c:v>-7.1150855133470846E-3</c:v>
                </c:pt>
                <c:pt idx="4">
                  <c:v>-1.0589883793257523E-2</c:v>
                </c:pt>
                <c:pt idx="5">
                  <c:v>-1.2946876035437857E-2</c:v>
                </c:pt>
                <c:pt idx="6">
                  <c:v>-1.4367495523288847E-2</c:v>
                </c:pt>
                <c:pt idx="7">
                  <c:v>-1.5100775493222439E-2</c:v>
                </c:pt>
                <c:pt idx="8">
                  <c:v>-1.5349816342207154E-2</c:v>
                </c:pt>
                <c:pt idx="9">
                  <c:v>-1.5262463958171719E-2</c:v>
                </c:pt>
                <c:pt idx="10">
                  <c:v>-1.4942873416971737E-2</c:v>
                </c:pt>
                <c:pt idx="11">
                  <c:v>-1.4463941515891934E-2</c:v>
                </c:pt>
                <c:pt idx="12">
                  <c:v>-1.387685013940311E-2</c:v>
                </c:pt>
                <c:pt idx="13">
                  <c:v>-1.3217773060846595E-2</c:v>
                </c:pt>
                <c:pt idx="14">
                  <c:v>-1.2512463730910884E-2</c:v>
                </c:pt>
                <c:pt idx="15">
                  <c:v>-1.177937878548754E-2</c:v>
                </c:pt>
                <c:pt idx="16">
                  <c:v>-1.1031814530526658E-2</c:v>
                </c:pt>
                <c:pt idx="17">
                  <c:v>-1.0279381108138398E-2</c:v>
                </c:pt>
                <c:pt idx="18">
                  <c:v>-9.5290302713987255E-3</c:v>
                </c:pt>
                <c:pt idx="19">
                  <c:v>-8.7857797365254557E-3</c:v>
                </c:pt>
                <c:pt idx="20">
                  <c:v>-8.0532291607885408E-3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EC-427E-8591-E42EC71173C3}"/>
            </c:ext>
          </c:extLst>
        </c:ser>
        <c:ser>
          <c:idx val="5"/>
          <c:order val="5"/>
          <c:tx>
            <c:strRef>
              <c:f>Graphic!$T$45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Graphic!$U$45:$AO$45</c:f>
              <c:numCache>
                <c:formatCode>#,##0.0000</c:formatCode>
                <c:ptCount val="21"/>
                <c:pt idx="0">
                  <c:v>-2.310243665032362E-18</c:v>
                </c:pt>
                <c:pt idx="1">
                  <c:v>-1.7726182512089728E-3</c:v>
                </c:pt>
                <c:pt idx="2">
                  <c:v>-8.0031502662855827E-3</c:v>
                </c:pt>
                <c:pt idx="3">
                  <c:v>-1.2257637122173752E-2</c:v>
                </c:pt>
                <c:pt idx="4">
                  <c:v>-1.4279843929924032E-2</c:v>
                </c:pt>
                <c:pt idx="5">
                  <c:v>-1.4956281758222313E-2</c:v>
                </c:pt>
                <c:pt idx="6">
                  <c:v>-1.4878810354957916E-2</c:v>
                </c:pt>
                <c:pt idx="7">
                  <c:v>-1.4382481617734685E-2</c:v>
                </c:pt>
                <c:pt idx="8">
                  <c:v>-1.3655470352617801E-2</c:v>
                </c:pt>
                <c:pt idx="9">
                  <c:v>-1.2805571434533973E-2</c:v>
                </c:pt>
                <c:pt idx="10">
                  <c:v>-1.1895917449331632E-2</c:v>
                </c:pt>
                <c:pt idx="11">
                  <c:v>-1.0964133163958296E-2</c:v>
                </c:pt>
                <c:pt idx="12">
                  <c:v>-1.0032862122975082E-2</c:v>
                </c:pt>
                <c:pt idx="13">
                  <c:v>-9.115727232238878E-3</c:v>
                </c:pt>
                <c:pt idx="14">
                  <c:v>-8.2208058658551474E-3</c:v>
                </c:pt>
                <c:pt idx="15">
                  <c:v>-7.3527104263034215E-3</c:v>
                </c:pt>
                <c:pt idx="16">
                  <c:v>-6.513863440982386E-3</c:v>
                </c:pt>
                <c:pt idx="17">
                  <c:v>-5.7052949088110131E-3</c:v>
                </c:pt>
                <c:pt idx="18">
                  <c:v>-4.9271494274618242E-3</c:v>
                </c:pt>
                <c:pt idx="19">
                  <c:v>-4.1790132407464294E-3</c:v>
                </c:pt>
                <c:pt idx="20">
                  <c:v>-3.460127439925801E-3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EC-427E-8591-E42EC71173C3}"/>
            </c:ext>
          </c:extLst>
        </c:ser>
        <c:ser>
          <c:idx val="6"/>
          <c:order val="6"/>
          <c:tx>
            <c:strRef>
              <c:f>Graphic!$T$46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66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Graphic!$U$46:$AO$46</c:f>
              <c:numCache>
                <c:formatCode>#,##0.0000</c:formatCode>
                <c:ptCount val="21"/>
                <c:pt idx="0">
                  <c:v>-4.1007001951898103E-10</c:v>
                </c:pt>
                <c:pt idx="1">
                  <c:v>-7.7424313767162937E-3</c:v>
                </c:pt>
                <c:pt idx="2">
                  <c:v>-1.3591326033058435E-2</c:v>
                </c:pt>
                <c:pt idx="3">
                  <c:v>-1.4647492860486533E-2</c:v>
                </c:pt>
                <c:pt idx="4">
                  <c:v>-1.4069600203941733E-2</c:v>
                </c:pt>
                <c:pt idx="5">
                  <c:v>-1.2948215931974941E-2</c:v>
                </c:pt>
                <c:pt idx="6">
                  <c:v>-1.1667591034731599E-2</c:v>
                </c:pt>
                <c:pt idx="7">
                  <c:v>-1.0373877415286279E-2</c:v>
                </c:pt>
                <c:pt idx="8">
                  <c:v>-9.1242355067325497E-3</c:v>
                </c:pt>
                <c:pt idx="9">
                  <c:v>-7.9397349088446215E-3</c:v>
                </c:pt>
                <c:pt idx="10">
                  <c:v>-6.8260540901619203E-3</c:v>
                </c:pt>
                <c:pt idx="11">
                  <c:v>-5.7822091725078066E-3</c:v>
                </c:pt>
                <c:pt idx="12">
                  <c:v>-4.8044347108664644E-3</c:v>
                </c:pt>
                <c:pt idx="13">
                  <c:v>-3.8879651770854628E-3</c:v>
                </c:pt>
                <c:pt idx="14">
                  <c:v>-3.0278599761395051E-3</c:v>
                </c:pt>
                <c:pt idx="15">
                  <c:v>-2.2193765057007299E-3</c:v>
                </c:pt>
                <c:pt idx="16">
                  <c:v>-1.458124848937002E-3</c:v>
                </c:pt>
                <c:pt idx="17">
                  <c:v>-7.4011632046937638E-4</c:v>
                </c:pt>
                <c:pt idx="18">
                  <c:v>-6.176124823127132E-5</c:v>
                </c:pt>
                <c:pt idx="19">
                  <c:v>5.8015621669305734E-4</c:v>
                </c:pt>
                <c:pt idx="20">
                  <c:v>1.1885122484928967E-3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EC-427E-8591-E42EC71173C3}"/>
            </c:ext>
          </c:extLst>
        </c:ser>
        <c:ser>
          <c:idx val="7"/>
          <c:order val="7"/>
          <c:tx>
            <c:strRef>
              <c:f>Graphic!$T$47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CC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Graphic!$U$47:$AO$47</c:f>
              <c:numCache>
                <c:formatCode>#,##0.0000</c:formatCode>
                <c:ptCount val="21"/>
                <c:pt idx="0">
                  <c:v>-7.0449730833432295E-5</c:v>
                </c:pt>
                <c:pt idx="1">
                  <c:v>-1.4210049403835518E-2</c:v>
                </c:pt>
                <c:pt idx="2">
                  <c:v>-1.3023618866716572E-2</c:v>
                </c:pt>
                <c:pt idx="3">
                  <c:v>-1.0705507531958253E-2</c:v>
                </c:pt>
                <c:pt idx="4">
                  <c:v>-8.6084767883551367E-3</c:v>
                </c:pt>
                <c:pt idx="5">
                  <c:v>-6.8141887143327385E-3</c:v>
                </c:pt>
                <c:pt idx="6">
                  <c:v>-5.2741947456757783E-3</c:v>
                </c:pt>
                <c:pt idx="7">
                  <c:v>-3.9358507003077019E-3</c:v>
                </c:pt>
                <c:pt idx="8">
                  <c:v>-2.7575837271487341E-3</c:v>
                </c:pt>
                <c:pt idx="9">
                  <c:v>-1.7081972493623477E-3</c:v>
                </c:pt>
                <c:pt idx="10">
                  <c:v>-7.6430195856767662E-4</c:v>
                </c:pt>
                <c:pt idx="11">
                  <c:v>9.1861621703147493E-5</c:v>
                </c:pt>
                <c:pt idx="12">
                  <c:v>8.7399868695117093E-4</c:v>
                </c:pt>
                <c:pt idx="13">
                  <c:v>1.5928612892414907E-3</c:v>
                </c:pt>
                <c:pt idx="14">
                  <c:v>2.2570171031487747E-3</c:v>
                </c:pt>
                <c:pt idx="15">
                  <c:v>2.8733917957810039E-3</c:v>
                </c:pt>
                <c:pt idx="16">
                  <c:v>3.4476572606569646E-3</c:v>
                </c:pt>
                <c:pt idx="17">
                  <c:v>3.9845138793152077E-3</c:v>
                </c:pt>
                <c:pt idx="18">
                  <c:v>4.4878989197487933E-3</c:v>
                </c:pt>
                <c:pt idx="19">
                  <c:v>4.9611426772333319E-3</c:v>
                </c:pt>
                <c:pt idx="20">
                  <c:v>5.4070870854442208E-3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EC-427E-8591-E42EC71173C3}"/>
            </c:ext>
          </c:extLst>
        </c:ser>
        <c:ser>
          <c:idx val="8"/>
          <c:order val="8"/>
          <c:tx>
            <c:strRef>
              <c:f>Graphic!$T$48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0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Graphic!$U$48:$AO$48</c:f>
              <c:numCache>
                <c:formatCode>#,##0.0000</c:formatCode>
                <c:ptCount val="21"/>
                <c:pt idx="0">
                  <c:v>-1.2645827333946091E-2</c:v>
                </c:pt>
                <c:pt idx="1">
                  <c:v>-6.8796220311220383E-3</c:v>
                </c:pt>
                <c:pt idx="2">
                  <c:v>-3.3620341627425411E-3</c:v>
                </c:pt>
                <c:pt idx="3">
                  <c:v>-1.2792985944189985E-3</c:v>
                </c:pt>
                <c:pt idx="4">
                  <c:v>2.0623602957549084E-4</c:v>
                </c:pt>
                <c:pt idx="5">
                  <c:v>1.3670666962849194E-3</c:v>
                </c:pt>
                <c:pt idx="6">
                  <c:v>2.3236460612724467E-3</c:v>
                </c:pt>
                <c:pt idx="7">
                  <c:v>3.1393873904751418E-3</c:v>
                </c:pt>
                <c:pt idx="8">
                  <c:v>3.8516930502732029E-3</c:v>
                </c:pt>
                <c:pt idx="9">
                  <c:v>4.4844639530748128E-3</c:v>
                </c:pt>
                <c:pt idx="10">
                  <c:v>5.053911782455082E-3</c:v>
                </c:pt>
                <c:pt idx="11">
                  <c:v>5.5715520484313817E-3</c:v>
                </c:pt>
                <c:pt idx="12">
                  <c:v>6.0458709126636158E-3</c:v>
                </c:pt>
                <c:pt idx="13">
                  <c:v>6.4833125596274197E-3</c:v>
                </c:pt>
                <c:pt idx="14">
                  <c:v>6.8888940777895157E-3</c:v>
                </c:pt>
                <c:pt idx="15">
                  <c:v>7.2666045489481242E-3</c:v>
                </c:pt>
                <c:pt idx="16">
                  <c:v>7.6196732544799965E-3</c:v>
                </c:pt>
                <c:pt idx="17">
                  <c:v>7.9507553580782323E-3</c:v>
                </c:pt>
                <c:pt idx="18">
                  <c:v>8.2620637978153069E-3</c:v>
                </c:pt>
                <c:pt idx="19">
                  <c:v>8.5554650913685845E-3</c:v>
                </c:pt>
                <c:pt idx="20">
                  <c:v>8.832550313132681E-3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EC-427E-8591-E42EC71173C3}"/>
            </c:ext>
          </c:extLst>
        </c:ser>
        <c:ser>
          <c:idx val="9"/>
          <c:order val="9"/>
          <c:tx>
            <c:strRef>
              <c:f>Graphic!$T$49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Graphic!$U$49:$AO$49</c:f>
              <c:numCache>
                <c:formatCode>#,##0.0000</c:formatCode>
                <c:ptCount val="21"/>
                <c:pt idx="0">
                  <c:v>1.3653991961173338E-2</c:v>
                </c:pt>
                <c:pt idx="1">
                  <c:v>9.1073401767258807E-3</c:v>
                </c:pt>
                <c:pt idx="2">
                  <c:v>8.3900688330183874E-3</c:v>
                </c:pt>
                <c:pt idx="3">
                  <c:v>8.2982050666346539E-3</c:v>
                </c:pt>
                <c:pt idx="4">
                  <c:v>8.3938926142396106E-3</c:v>
                </c:pt>
                <c:pt idx="5">
                  <c:v>8.5620057935596357E-3</c:v>
                </c:pt>
                <c:pt idx="6">
                  <c:v>8.7600880927592543E-3</c:v>
                </c:pt>
                <c:pt idx="7">
                  <c:v>8.969485051322279E-3</c:v>
                </c:pt>
                <c:pt idx="8">
                  <c:v>9.1811169316137701E-3</c:v>
                </c:pt>
                <c:pt idx="9">
                  <c:v>9.3902938110120467E-3</c:v>
                </c:pt>
                <c:pt idx="10">
                  <c:v>9.5945271704963482E-3</c:v>
                </c:pt>
                <c:pt idx="11">
                  <c:v>9.7925050340693133E-3</c:v>
                </c:pt>
                <c:pt idx="12">
                  <c:v>9.9835734767104462E-3</c:v>
                </c:pt>
                <c:pt idx="13">
                  <c:v>1.0167458329553236E-2</c:v>
                </c:pt>
                <c:pt idx="14">
                  <c:v>1.0344108761987133E-2</c:v>
                </c:pt>
                <c:pt idx="15">
                  <c:v>1.0513606130303547E-2</c:v>
                </c:pt>
                <c:pt idx="16">
                  <c:v>1.0676109345111186E-2</c:v>
                </c:pt>
                <c:pt idx="17">
                  <c:v>1.0831821423242117E-2</c:v>
                </c:pt>
                <c:pt idx="18">
                  <c:v>1.098096870113547E-2</c:v>
                </c:pt>
                <c:pt idx="19">
                  <c:v>1.1123787804702292E-2</c:v>
                </c:pt>
                <c:pt idx="20">
                  <c:v>1.1260517467869213E-2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EC-427E-8591-E42EC71173C3}"/>
            </c:ext>
          </c:extLst>
        </c:ser>
        <c:ser>
          <c:idx val="10"/>
          <c:order val="10"/>
          <c:tx>
            <c:strRef>
              <c:f>Graphic!$T$50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Graphic!$U$50:$AO$50</c:f>
              <c:numCache>
                <c:formatCode>#,##0.0000</c:formatCode>
                <c:ptCount val="21"/>
                <c:pt idx="0">
                  <c:v>2.33468679043932E-4</c:v>
                </c:pt>
                <c:pt idx="1">
                  <c:v>1.2969487565470318E-2</c:v>
                </c:pt>
                <c:pt idx="2">
                  <c:v>1.3359214562650516E-2</c:v>
                </c:pt>
                <c:pt idx="3">
                  <c:v>1.3052045475097876E-2</c:v>
                </c:pt>
                <c:pt idx="4">
                  <c:v>1.2773642342026706E-2</c:v>
                </c:pt>
                <c:pt idx="5">
                  <c:v>1.2575554744226548E-2</c:v>
                </c:pt>
                <c:pt idx="6">
                  <c:v>1.2443988553603277E-2</c:v>
                </c:pt>
                <c:pt idx="7">
                  <c:v>1.236158389994383E-2</c:v>
                </c:pt>
                <c:pt idx="8">
                  <c:v>1.2314825258667174E-2</c:v>
                </c:pt>
                <c:pt idx="9">
                  <c:v>1.2293946775378104E-2</c:v>
                </c:pt>
                <c:pt idx="10">
                  <c:v>1.2291956321883133E-2</c:v>
                </c:pt>
                <c:pt idx="11">
                  <c:v>1.2303806297321923E-2</c:v>
                </c:pt>
                <c:pt idx="12">
                  <c:v>1.2325805064863669E-2</c:v>
                </c:pt>
                <c:pt idx="13">
                  <c:v>1.2355215472304996E-2</c:v>
                </c:pt>
                <c:pt idx="14">
                  <c:v>1.2389981770727249E-2</c:v>
                </c:pt>
                <c:pt idx="15">
                  <c:v>1.2428542071042915E-2</c:v>
                </c:pt>
                <c:pt idx="16">
                  <c:v>1.2469697730554121E-2</c:v>
                </c:pt>
                <c:pt idx="17">
                  <c:v>1.2512520996162835E-2</c:v>
                </c:pt>
                <c:pt idx="18">
                  <c:v>1.2556288708621924E-2</c:v>
                </c:pt>
                <c:pt idx="19">
                  <c:v>1.2600434026173448E-2</c:v>
                </c:pt>
                <c:pt idx="20">
                  <c:v>1.264451079451677E-2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EC-427E-8591-E42EC71173C3}"/>
            </c:ext>
          </c:extLst>
        </c:ser>
        <c:ser>
          <c:idx val="11"/>
          <c:order val="11"/>
          <c:tx>
            <c:strRef>
              <c:f>Graphic!$T$51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Graphic!$U$51:$AO$51</c:f>
              <c:numCache>
                <c:formatCode>#,##0.0000</c:formatCode>
                <c:ptCount val="21"/>
                <c:pt idx="0">
                  <c:v>1.1503367450892272E-8</c:v>
                </c:pt>
                <c:pt idx="1">
                  <c:v>6.6361888313953019E-3</c:v>
                </c:pt>
                <c:pt idx="2">
                  <c:v>1.0812955533373027E-2</c:v>
                </c:pt>
                <c:pt idx="3">
                  <c:v>1.2238073679837839E-2</c:v>
                </c:pt>
                <c:pt idx="4">
                  <c:v>1.2783369181505418E-2</c:v>
                </c:pt>
                <c:pt idx="5">
                  <c:v>1.3004066605489089E-2</c:v>
                </c:pt>
                <c:pt idx="6">
                  <c:v>1.3091023465982675E-2</c:v>
                </c:pt>
                <c:pt idx="7">
                  <c:v>1.3119557394025427E-2</c:v>
                </c:pt>
                <c:pt idx="8">
                  <c:v>1.3122353022923233E-2</c:v>
                </c:pt>
                <c:pt idx="9">
                  <c:v>1.31144799225238E-2</c:v>
                </c:pt>
                <c:pt idx="10">
                  <c:v>1.3103105734217848E-2</c:v>
                </c:pt>
                <c:pt idx="11">
                  <c:v>1.3091638319700878E-2</c:v>
                </c:pt>
                <c:pt idx="12">
                  <c:v>1.3081623570025432E-2</c:v>
                </c:pt>
                <c:pt idx="13">
                  <c:v>1.3073664050348356E-2</c:v>
                </c:pt>
                <c:pt idx="14">
                  <c:v>1.3067882525801941E-2</c:v>
                </c:pt>
                <c:pt idx="15">
                  <c:v>1.3064162954885397E-2</c:v>
                </c:pt>
                <c:pt idx="16">
                  <c:v>1.3062278182572495E-2</c:v>
                </c:pt>
                <c:pt idx="17">
                  <c:v>1.3061958081524976E-2</c:v>
                </c:pt>
                <c:pt idx="18">
                  <c:v>1.3062925628295568E-2</c:v>
                </c:pt>
                <c:pt idx="19">
                  <c:v>1.30649154249308E-2</c:v>
                </c:pt>
                <c:pt idx="20">
                  <c:v>1.3067682526305319E-2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EC-427E-8591-E42EC71173C3}"/>
            </c:ext>
          </c:extLst>
        </c:ser>
        <c:ser>
          <c:idx val="12"/>
          <c:order val="12"/>
          <c:tx>
            <c:strRef>
              <c:f>Graphic!$T$52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800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Graphic!$U$52:$AO$52</c:f>
              <c:numCache>
                <c:formatCode>#,##0.0000</c:formatCode>
                <c:ptCount val="21"/>
                <c:pt idx="0">
                  <c:v>3.6012715102027065E-15</c:v>
                </c:pt>
                <c:pt idx="1">
                  <c:v>1.7739655404033126E-3</c:v>
                </c:pt>
                <c:pt idx="2">
                  <c:v>5.87123949995656E-3</c:v>
                </c:pt>
                <c:pt idx="3">
                  <c:v>8.4896505812802371E-3</c:v>
                </c:pt>
                <c:pt idx="4">
                  <c:v>1.0002686560915042E-2</c:v>
                </c:pt>
                <c:pt idx="5">
                  <c:v>1.0907643606302425E-2</c:v>
                </c:pt>
                <c:pt idx="6">
                  <c:v>1.1473900174468754E-2</c:v>
                </c:pt>
                <c:pt idx="7">
                  <c:v>1.1842612531357488E-2</c:v>
                </c:pt>
                <c:pt idx="8">
                  <c:v>1.2090759957057303E-2</c:v>
                </c:pt>
                <c:pt idx="9">
                  <c:v>1.2262360942587702E-2</c:v>
                </c:pt>
                <c:pt idx="10">
                  <c:v>1.2383701034982663E-2</c:v>
                </c:pt>
                <c:pt idx="11">
                  <c:v>1.2471075637126927E-2</c:v>
                </c:pt>
                <c:pt idx="12">
                  <c:v>1.2534914660603897E-2</c:v>
                </c:pt>
                <c:pt idx="13">
                  <c:v>1.2582077867364158E-2</c:v>
                </c:pt>
                <c:pt idx="14">
                  <c:v>1.2617183073880727E-2</c:v>
                </c:pt>
                <c:pt idx="15">
                  <c:v>1.2643401619358422E-2</c:v>
                </c:pt>
                <c:pt idx="16">
                  <c:v>1.2662949391924267E-2</c:v>
                </c:pt>
                <c:pt idx="17">
                  <c:v>1.2677398093981294E-2</c:v>
                </c:pt>
                <c:pt idx="18">
                  <c:v>1.268787723844227E-2</c:v>
                </c:pt>
                <c:pt idx="19">
                  <c:v>1.2695207985782607E-2</c:v>
                </c:pt>
                <c:pt idx="20">
                  <c:v>1.2699993472819309E-2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EC-427E-8591-E42EC71173C3}"/>
            </c:ext>
          </c:extLst>
        </c:ser>
        <c:ser>
          <c:idx val="13"/>
          <c:order val="13"/>
          <c:tx>
            <c:strRef>
              <c:f>Graphic!$T$53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Graphic!$U$53:$AO$53</c:f>
              <c:numCache>
                <c:formatCode>#,##0.0000</c:formatCode>
                <c:ptCount val="21"/>
                <c:pt idx="0">
                  <c:v>1.0612253377795012E-23</c:v>
                </c:pt>
                <c:pt idx="1">
                  <c:v>2.7669722745388018E-4</c:v>
                </c:pt>
                <c:pt idx="2">
                  <c:v>2.3279786814080121E-3</c:v>
                </c:pt>
                <c:pt idx="3">
                  <c:v>4.675109566285445E-3</c:v>
                </c:pt>
                <c:pt idx="4">
                  <c:v>6.4990216077541255E-3</c:v>
                </c:pt>
                <c:pt idx="5">
                  <c:v>7.8189102212654314E-3</c:v>
                </c:pt>
                <c:pt idx="6">
                  <c:v>8.7710914774814276E-3</c:v>
                </c:pt>
                <c:pt idx="7">
                  <c:v>9.4677716235127343E-3</c:v>
                </c:pt>
                <c:pt idx="8">
                  <c:v>9.9867063906192641E-3</c:v>
                </c:pt>
                <c:pt idx="9">
                  <c:v>1.0380092417182199E-2</c:v>
                </c:pt>
                <c:pt idx="10">
                  <c:v>1.0683108505342955E-2</c:v>
                </c:pt>
                <c:pt idx="11">
                  <c:v>1.0919823239686613E-2</c:v>
                </c:pt>
                <c:pt idx="12">
                  <c:v>1.1107005640613343E-2</c:v>
                </c:pt>
                <c:pt idx="13">
                  <c:v>1.1256555820454673E-2</c:v>
                </c:pt>
                <c:pt idx="14">
                  <c:v>1.1377068008190654E-2</c:v>
                </c:pt>
                <c:pt idx="15">
                  <c:v>1.1474850922278828E-2</c:v>
                </c:pt>
                <c:pt idx="16">
                  <c:v>1.1554605552993138E-2</c:v>
                </c:pt>
                <c:pt idx="17">
                  <c:v>1.1619883395803589E-2</c:v>
                </c:pt>
                <c:pt idx="18">
                  <c:v>1.1673401589661856E-2</c:v>
                </c:pt>
                <c:pt idx="19">
                  <c:v>1.1717263174330203E-2</c:v>
                </c:pt>
                <c:pt idx="20">
                  <c:v>1.175311337542399E-2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EC-427E-8591-E42EC71173C3}"/>
            </c:ext>
          </c:extLst>
        </c:ser>
        <c:ser>
          <c:idx val="14"/>
          <c:order val="14"/>
          <c:tx>
            <c:strRef>
              <c:f>Graphic!$T$54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Graphic!$U$54:$AO$54</c:f>
              <c:numCache>
                <c:formatCode>#,##0.0000</c:formatCode>
                <c:ptCount val="21"/>
                <c:pt idx="0">
                  <c:v>4.023161929576012E-34</c:v>
                </c:pt>
                <c:pt idx="1">
                  <c:v>2.6735099417115938E-5</c:v>
                </c:pt>
                <c:pt idx="2">
                  <c:v>7.0387661210260513E-4</c:v>
                </c:pt>
                <c:pt idx="3">
                  <c:v>2.1179755208197409E-3</c:v>
                </c:pt>
                <c:pt idx="4">
                  <c:v>3.6157730413252224E-3</c:v>
                </c:pt>
                <c:pt idx="5">
                  <c:v>4.9215117750386183E-3</c:v>
                </c:pt>
                <c:pt idx="6">
                  <c:v>5.9912045664998106E-3</c:v>
                </c:pt>
                <c:pt idx="7">
                  <c:v>6.8516220432874621E-3</c:v>
                </c:pt>
                <c:pt idx="8">
                  <c:v>7.5424677418338771E-3</c:v>
                </c:pt>
                <c:pt idx="9">
                  <c:v>8.0998053240504391E-3</c:v>
                </c:pt>
                <c:pt idx="10">
                  <c:v>8.5526984110135436E-3</c:v>
                </c:pt>
                <c:pt idx="11">
                  <c:v>8.9236441044947441E-3</c:v>
                </c:pt>
                <c:pt idx="12">
                  <c:v>9.2298427395521559E-3</c:v>
                </c:pt>
                <c:pt idx="13">
                  <c:v>9.4844378659768285E-3</c:v>
                </c:pt>
                <c:pt idx="14">
                  <c:v>9.6975219683715121E-3</c:v>
                </c:pt>
                <c:pt idx="15">
                  <c:v>9.8769018571834497E-3</c:v>
                </c:pt>
                <c:pt idx="16">
                  <c:v>1.0028667298086992E-2</c:v>
                </c:pt>
                <c:pt idx="17">
                  <c:v>1.0157610359262007E-2</c:v>
                </c:pt>
                <c:pt idx="18">
                  <c:v>1.0267534855670639E-2</c:v>
                </c:pt>
                <c:pt idx="19">
                  <c:v>1.0361485756057392E-2</c:v>
                </c:pt>
                <c:pt idx="20">
                  <c:v>1.0441920397158109E-2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EC-427E-8591-E42EC71173C3}"/>
            </c:ext>
          </c:extLst>
        </c:ser>
        <c:ser>
          <c:idx val="15"/>
          <c:order val="15"/>
          <c:tx>
            <c:strRef>
              <c:f>Graphic!$T$55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0000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Graphic!$U$55:$AO$55</c:f>
              <c:numCache>
                <c:formatCode>#,##0.0000</c:formatCode>
                <c:ptCount val="21"/>
                <c:pt idx="0">
                  <c:v>2.5813151648170144E-46</c:v>
                </c:pt>
                <c:pt idx="1">
                  <c:v>1.6685426158743291E-6</c:v>
                </c:pt>
                <c:pt idx="2">
                  <c:v>1.6693678905065391E-4</c:v>
                </c:pt>
                <c:pt idx="3">
                  <c:v>8.0747929244467953E-4</c:v>
                </c:pt>
                <c:pt idx="4">
                  <c:v>1.7562790358078069E-3</c:v>
                </c:pt>
                <c:pt idx="5">
                  <c:v>2.7669302630720415E-3</c:v>
                </c:pt>
                <c:pt idx="6">
                  <c:v>3.7130647179243947E-3</c:v>
                </c:pt>
                <c:pt idx="7">
                  <c:v>4.5509614340234162E-3</c:v>
                </c:pt>
                <c:pt idx="8">
                  <c:v>5.2750664886737795E-3</c:v>
                </c:pt>
                <c:pt idx="9">
                  <c:v>5.8945821954453506E-3</c:v>
                </c:pt>
                <c:pt idx="10">
                  <c:v>6.4230677114870795E-3</c:v>
                </c:pt>
                <c:pt idx="11">
                  <c:v>6.8742072479692998E-3</c:v>
                </c:pt>
                <c:pt idx="12">
                  <c:v>7.2602838548173594E-3</c:v>
                </c:pt>
                <c:pt idx="13">
                  <c:v>7.5917892120936159E-3</c:v>
                </c:pt>
                <c:pt idx="14">
                  <c:v>7.8774820545156193E-3</c:v>
                </c:pt>
                <c:pt idx="15">
                  <c:v>8.124600214067846E-3</c:v>
                </c:pt>
                <c:pt idx="16">
                  <c:v>8.3391036001147605E-3</c:v>
                </c:pt>
                <c:pt idx="17">
                  <c:v>8.5259006357936776E-3</c:v>
                </c:pt>
                <c:pt idx="18">
                  <c:v>8.6890429968764556E-3</c:v>
                </c:pt>
                <c:pt idx="19">
                  <c:v>8.8318868728727816E-3</c:v>
                </c:pt>
                <c:pt idx="20">
                  <c:v>8.9572240051127693E-3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EC-427E-8591-E42EC71173C3}"/>
            </c:ext>
          </c:extLst>
        </c:ser>
        <c:ser>
          <c:idx val="16"/>
          <c:order val="16"/>
          <c:tx>
            <c:strRef>
              <c:f>Graphic!$T$56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00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Graphic!$U$56:$AO$56</c:f>
              <c:numCache>
                <c:formatCode>#,##0.0000</c:formatCode>
                <c:ptCount val="21"/>
                <c:pt idx="0">
                  <c:v>3.5939503210230849E-60</c:v>
                </c:pt>
                <c:pt idx="1">
                  <c:v>6.9528445766782609E-8</c:v>
                </c:pt>
                <c:pt idx="2">
                  <c:v>3.171929183677126E-5</c:v>
                </c:pt>
                <c:pt idx="3">
                  <c:v>2.6338137737265318E-4</c:v>
                </c:pt>
                <c:pt idx="4">
                  <c:v>7.5518187514529115E-4</c:v>
                </c:pt>
                <c:pt idx="5">
                  <c:v>1.4064076546775814E-3</c:v>
                </c:pt>
                <c:pt idx="6">
                  <c:v>2.1106332761625943E-3</c:v>
                </c:pt>
                <c:pt idx="7">
                  <c:v>2.8018169663028168E-3</c:v>
                </c:pt>
                <c:pt idx="8">
                  <c:v>3.4472074032104979E-3</c:v>
                </c:pt>
                <c:pt idx="9">
                  <c:v>4.0339861404341216E-3</c:v>
                </c:pt>
                <c:pt idx="10">
                  <c:v>4.5598692588861697E-3</c:v>
                </c:pt>
                <c:pt idx="11">
                  <c:v>5.0276561189574777E-3</c:v>
                </c:pt>
                <c:pt idx="12">
                  <c:v>5.4422986562852336E-3</c:v>
                </c:pt>
                <c:pt idx="13">
                  <c:v>5.8093972819040938E-3</c:v>
                </c:pt>
                <c:pt idx="14">
                  <c:v>6.134466703650426E-3</c:v>
                </c:pt>
                <c:pt idx="15">
                  <c:v>6.4226068522742043E-3</c:v>
                </c:pt>
                <c:pt idx="16">
                  <c:v>6.6783821996961997E-3</c:v>
                </c:pt>
                <c:pt idx="17">
                  <c:v>6.9058048148164953E-3</c:v>
                </c:pt>
                <c:pt idx="18">
                  <c:v>7.1083660080666564E-3</c:v>
                </c:pt>
                <c:pt idx="19">
                  <c:v>7.2890878802025303E-3</c:v>
                </c:pt>
                <c:pt idx="20">
                  <c:v>7.4505802050584711E-3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EC-427E-8591-E42EC71173C3}"/>
            </c:ext>
          </c:extLst>
        </c:ser>
        <c:ser>
          <c:idx val="17"/>
          <c:order val="17"/>
          <c:tx>
            <c:strRef>
              <c:f>Graphic!$T$57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CC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Graphic!$U$57:$AO$57</c:f>
              <c:numCache>
                <c:formatCode>#,##0.0000</c:formatCode>
                <c:ptCount val="21"/>
                <c:pt idx="0">
                  <c:v>1.3642827471328712E-75</c:v>
                </c:pt>
                <c:pt idx="1">
                  <c:v>1.9894585887535923E-9</c:v>
                </c:pt>
                <c:pt idx="2">
                  <c:v>4.9118487267705824E-6</c:v>
                </c:pt>
                <c:pt idx="3">
                  <c:v>7.4462390066193815E-5</c:v>
                </c:pt>
                <c:pt idx="4">
                  <c:v>2.9057638555749312E-4</c:v>
                </c:pt>
                <c:pt idx="5">
                  <c:v>6.5236738954477767E-4</c:v>
                </c:pt>
                <c:pt idx="6">
                  <c:v>1.1095736156227463E-3</c:v>
                </c:pt>
                <c:pt idx="7">
                  <c:v>1.6108535744626682E-3</c:v>
                </c:pt>
                <c:pt idx="8">
                  <c:v>2.1193608999239351E-3</c:v>
                </c:pt>
                <c:pt idx="9">
                  <c:v>2.6125199402102688E-3</c:v>
                </c:pt>
                <c:pt idx="10">
                  <c:v>3.0780562763143876E-3</c:v>
                </c:pt>
                <c:pt idx="11">
                  <c:v>3.5102998950214755E-3</c:v>
                </c:pt>
                <c:pt idx="12">
                  <c:v>3.9075459319039899E-3</c:v>
                </c:pt>
                <c:pt idx="13">
                  <c:v>4.2703460352454111E-3</c:v>
                </c:pt>
                <c:pt idx="14">
                  <c:v>4.6004537047980966E-3</c:v>
                </c:pt>
                <c:pt idx="15">
                  <c:v>4.9001924677041335E-3</c:v>
                </c:pt>
                <c:pt idx="16">
                  <c:v>5.1720871785026264E-3</c:v>
                </c:pt>
                <c:pt idx="17">
                  <c:v>5.4186557477029617E-3</c:v>
                </c:pt>
                <c:pt idx="18">
                  <c:v>5.6422973570139619E-3</c:v>
                </c:pt>
                <c:pt idx="19">
                  <c:v>5.8452379576190358E-3</c:v>
                </c:pt>
                <c:pt idx="20">
                  <c:v>6.0295092078202824E-3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EC-427E-8591-E42EC71173C3}"/>
            </c:ext>
          </c:extLst>
        </c:ser>
        <c:ser>
          <c:idx val="18"/>
          <c:order val="18"/>
          <c:tx>
            <c:strRef>
              <c:f>Graphic!$T$58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CCFF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Graphic!$U$58:$AO$58</c:f>
              <c:numCache>
                <c:formatCode>#,##0.0000</c:formatCode>
                <c:ptCount val="21"/>
                <c:pt idx="0">
                  <c:v>1.7438900818578925E-92</c:v>
                </c:pt>
                <c:pt idx="1">
                  <c:v>4.0062765724707774E-11</c:v>
                </c:pt>
                <c:pt idx="2">
                  <c:v>6.2897648224888714E-7</c:v>
                </c:pt>
                <c:pt idx="3">
                  <c:v>1.8445643893000869E-5</c:v>
                </c:pt>
                <c:pt idx="4">
                  <c:v>1.0094039099490585E-4</c:v>
                </c:pt>
                <c:pt idx="5">
                  <c:v>2.7825150037409917E-4</c:v>
                </c:pt>
                <c:pt idx="6">
                  <c:v>5.4308910675407256E-4</c:v>
                </c:pt>
                <c:pt idx="7">
                  <c:v>8.7009725239343754E-4</c:v>
                </c:pt>
                <c:pt idx="8">
                  <c:v>1.2326063315703643E-3</c:v>
                </c:pt>
                <c:pt idx="9">
                  <c:v>1.6092472027885696E-3</c:v>
                </c:pt>
                <c:pt idx="10">
                  <c:v>1.984949879248138E-3</c:v>
                </c:pt>
                <c:pt idx="11">
                  <c:v>2.3499377394325676E-3</c:v>
                </c:pt>
                <c:pt idx="12">
                  <c:v>2.69834457328068E-3</c:v>
                </c:pt>
                <c:pt idx="13">
                  <c:v>3.0270088781462817E-3</c:v>
                </c:pt>
                <c:pt idx="14">
                  <c:v>3.3345630115344236E-3</c:v>
                </c:pt>
                <c:pt idx="15">
                  <c:v>3.6207888394800751E-3</c:v>
                </c:pt>
                <c:pt idx="16">
                  <c:v>3.8861779189841256E-3</c:v>
                </c:pt>
                <c:pt idx="17">
                  <c:v>4.1316380055336074E-3</c:v>
                </c:pt>
                <c:pt idx="18">
                  <c:v>4.3583005791958318E-3</c:v>
                </c:pt>
                <c:pt idx="19">
                  <c:v>4.5673967393246948E-3</c:v>
                </c:pt>
                <c:pt idx="20">
                  <c:v>4.7601788083720216E-3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EC-427E-8591-E42EC71173C3}"/>
            </c:ext>
          </c:extLst>
        </c:ser>
        <c:ser>
          <c:idx val="19"/>
          <c:order val="19"/>
          <c:tx>
            <c:strRef>
              <c:f>Graphic!$T$59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Graphic!$U$59:$AO$59</c:f>
              <c:numCache>
                <c:formatCode>#,##0.0000</c:formatCode>
                <c:ptCount val="21"/>
                <c:pt idx="0">
                  <c:v>9.1314305673790783E-111</c:v>
                </c:pt>
                <c:pt idx="1">
                  <c:v>5.8044658797886615E-13</c:v>
                </c:pt>
                <c:pt idx="2">
                  <c:v>6.7456614799643501E-8</c:v>
                </c:pt>
                <c:pt idx="3">
                  <c:v>4.0411965215620393E-6</c:v>
                </c:pt>
                <c:pt idx="4">
                  <c:v>3.1896189119857891E-5</c:v>
                </c:pt>
                <c:pt idx="5">
                  <c:v>1.0983199891923773E-4</c:v>
                </c:pt>
                <c:pt idx="6">
                  <c:v>2.4888395937977634E-4</c:v>
                </c:pt>
                <c:pt idx="7">
                  <c:v>4.4377056636120719E-4</c:v>
                </c:pt>
                <c:pt idx="8">
                  <c:v>6.8125429744221372E-4</c:v>
                </c:pt>
                <c:pt idx="9">
                  <c:v>9.4677111783300183E-4</c:v>
                </c:pt>
                <c:pt idx="10">
                  <c:v>1.2276013914531321E-3</c:v>
                </c:pt>
                <c:pt idx="11">
                  <c:v>1.513815838338988E-3</c:v>
                </c:pt>
                <c:pt idx="12">
                  <c:v>1.7981833990460628E-3</c:v>
                </c:pt>
                <c:pt idx="13">
                  <c:v>2.0757137780788425E-3</c:v>
                </c:pt>
                <c:pt idx="14">
                  <c:v>2.3431432751304061E-3</c:v>
                </c:pt>
                <c:pt idx="15">
                  <c:v>2.598481353445794E-3</c:v>
                </c:pt>
                <c:pt idx="16">
                  <c:v>2.8406485843353664E-3</c:v>
                </c:pt>
                <c:pt idx="17">
                  <c:v>3.0692020132590037E-3</c:v>
                </c:pt>
                <c:pt idx="18">
                  <c:v>3.284132986819361E-3</c:v>
                </c:pt>
                <c:pt idx="19">
                  <c:v>3.4857211659256818E-3</c:v>
                </c:pt>
                <c:pt idx="20">
                  <c:v>3.6744305653821203E-3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EC-427E-8591-E42EC71173C3}"/>
            </c:ext>
          </c:extLst>
        </c:ser>
        <c:ser>
          <c:idx val="20"/>
          <c:order val="20"/>
          <c:tx>
            <c:strRef>
              <c:f>Graphic!$T$60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Graphic!$U$39:$AO$39</c:f>
              <c:numCache>
                <c:formatCode>0</c:formatCode>
                <c:ptCount val="21"/>
                <c:pt idx="0">
                  <c:v>1</c:v>
                </c:pt>
                <c:pt idx="1">
                  <c:v>9.9499999999999993</c:v>
                </c:pt>
                <c:pt idx="2">
                  <c:v>18.899999999999999</c:v>
                </c:pt>
                <c:pt idx="3">
                  <c:v>27.849999999999998</c:v>
                </c:pt>
                <c:pt idx="4">
                  <c:v>36.799999999999997</c:v>
                </c:pt>
                <c:pt idx="5">
                  <c:v>45.75</c:v>
                </c:pt>
                <c:pt idx="6">
                  <c:v>54.7</c:v>
                </c:pt>
                <c:pt idx="7">
                  <c:v>63.650000000000006</c:v>
                </c:pt>
                <c:pt idx="8">
                  <c:v>72.600000000000009</c:v>
                </c:pt>
                <c:pt idx="9">
                  <c:v>81.550000000000011</c:v>
                </c:pt>
                <c:pt idx="10">
                  <c:v>90.500000000000014</c:v>
                </c:pt>
                <c:pt idx="11">
                  <c:v>99.450000000000017</c:v>
                </c:pt>
                <c:pt idx="12">
                  <c:v>108.40000000000002</c:v>
                </c:pt>
                <c:pt idx="13">
                  <c:v>117.35000000000002</c:v>
                </c:pt>
                <c:pt idx="14">
                  <c:v>126.30000000000003</c:v>
                </c:pt>
                <c:pt idx="15">
                  <c:v>135.25000000000003</c:v>
                </c:pt>
                <c:pt idx="16">
                  <c:v>144.20000000000002</c:v>
                </c:pt>
                <c:pt idx="17">
                  <c:v>153.15</c:v>
                </c:pt>
                <c:pt idx="18">
                  <c:v>162.1</c:v>
                </c:pt>
                <c:pt idx="19">
                  <c:v>171.04999999999998</c:v>
                </c:pt>
                <c:pt idx="20">
                  <c:v>179.99999999999997</c:v>
                </c:pt>
              </c:numCache>
            </c:numRef>
          </c:cat>
          <c:val>
            <c:numRef>
              <c:f>Graphic!$U$60:$AO$60</c:f>
              <c:numCache>
                <c:formatCode>#,##0.0000</c:formatCode>
                <c:ptCount val="21"/>
                <c:pt idx="0">
                  <c:v>2.3507785039134473E-130</c:v>
                </c:pt>
                <c:pt idx="1">
                  <c:v>6.1731401711434065E-15</c:v>
                </c:pt>
                <c:pt idx="2">
                  <c:v>6.1285271128817644E-9</c:v>
                </c:pt>
                <c:pt idx="3">
                  <c:v>7.8951306394032428E-7</c:v>
                </c:pt>
                <c:pt idx="4">
                  <c:v>9.2286686620152011E-6</c:v>
                </c:pt>
                <c:pt idx="5">
                  <c:v>4.0343787979903498E-5</c:v>
                </c:pt>
                <c:pt idx="6">
                  <c:v>1.0730870114909076E-4</c:v>
                </c:pt>
                <c:pt idx="7">
                  <c:v>2.1463522178105508E-4</c:v>
                </c:pt>
                <c:pt idx="8">
                  <c:v>3.5921539716599326E-4</c:v>
                </c:pt>
                <c:pt idx="9">
                  <c:v>5.3392353487003276E-4</c:v>
                </c:pt>
                <c:pt idx="10">
                  <c:v>7.3052448006993506E-4</c:v>
                </c:pt>
                <c:pt idx="11">
                  <c:v>9.4130273774156541E-4</c:v>
                </c:pt>
                <c:pt idx="12">
                  <c:v>1.1597466694069931E-3</c:v>
                </c:pt>
                <c:pt idx="13">
                  <c:v>1.3806987902867877E-3</c:v>
                </c:pt>
                <c:pt idx="14">
                  <c:v>1.6002542983850352E-3</c:v>
                </c:pt>
                <c:pt idx="15">
                  <c:v>1.8155664757869324E-3</c:v>
                </c:pt>
                <c:pt idx="16">
                  <c:v>2.0246375491602066E-3</c:v>
                </c:pt>
                <c:pt idx="17">
                  <c:v>2.2261289635409007E-3</c:v>
                </c:pt>
                <c:pt idx="18">
                  <c:v>2.4192023616543294E-3</c:v>
                </c:pt>
                <c:pt idx="19">
                  <c:v>2.6033920390088451E-3</c:v>
                </c:pt>
                <c:pt idx="20">
                  <c:v>2.7785053694719913E-3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EC-427E-8591-E42EC71173C3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</c:bandFmts>
        <c:axId val="870877560"/>
        <c:axId val="1"/>
        <c:axId val="2"/>
      </c:surface3DChart>
      <c:catAx>
        <c:axId val="870877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90635525511083093"/>
              <c:y val="0.78373453360975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4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7087756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95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Asset or Strike</a:t>
                </a:r>
              </a:p>
            </c:rich>
          </c:tx>
          <c:layout>
            <c:manualLayout>
              <c:xMode val="edge"/>
              <c:yMode val="edge"/>
              <c:x val="0.25919753605568041"/>
              <c:y val="0.935305834921076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" r="0.75" t="1" header="0.5" footer="0.5"/>
    <c:pageSetup paperSize="0" orientation="landscape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300767114269495E-2"/>
          <c:y val="4.4692818706388769E-2"/>
          <c:w val="0.88111948284492658"/>
          <c:h val="0.8175061421710279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Graphic!$AQ$40:$AQ$80</c:f>
              <c:numCache>
                <c:formatCode>0</c:formatCode>
                <c:ptCount val="41"/>
                <c:pt idx="0">
                  <c:v>3.2499999999999929</c:v>
                </c:pt>
                <c:pt idx="1">
                  <c:v>3.2937499999999931</c:v>
                </c:pt>
                <c:pt idx="2">
                  <c:v>3.3374999999999932</c:v>
                </c:pt>
                <c:pt idx="3">
                  <c:v>3.3812499999999934</c:v>
                </c:pt>
                <c:pt idx="4">
                  <c:v>3.4249999999999936</c:v>
                </c:pt>
                <c:pt idx="5">
                  <c:v>3.4687499999999938</c:v>
                </c:pt>
                <c:pt idx="6">
                  <c:v>3.512499999999994</c:v>
                </c:pt>
                <c:pt idx="7">
                  <c:v>3.5562499999999941</c:v>
                </c:pt>
                <c:pt idx="8">
                  <c:v>3.5999999999999943</c:v>
                </c:pt>
                <c:pt idx="9">
                  <c:v>3.6437499999999945</c:v>
                </c:pt>
                <c:pt idx="10">
                  <c:v>3.6874999999999947</c:v>
                </c:pt>
                <c:pt idx="11">
                  <c:v>3.7312499999999948</c:v>
                </c:pt>
                <c:pt idx="12">
                  <c:v>3.774999999999995</c:v>
                </c:pt>
                <c:pt idx="13">
                  <c:v>3.8187499999999952</c:v>
                </c:pt>
                <c:pt idx="14">
                  <c:v>3.8624999999999954</c:v>
                </c:pt>
                <c:pt idx="15">
                  <c:v>3.9062499999999956</c:v>
                </c:pt>
                <c:pt idx="16">
                  <c:v>3.9499999999999957</c:v>
                </c:pt>
                <c:pt idx="17">
                  <c:v>3.9937499999999959</c:v>
                </c:pt>
                <c:pt idx="18">
                  <c:v>4.0374999999999961</c:v>
                </c:pt>
                <c:pt idx="19">
                  <c:v>4.0812499999999963</c:v>
                </c:pt>
                <c:pt idx="20">
                  <c:v>4.1249999999999964</c:v>
                </c:pt>
                <c:pt idx="21">
                  <c:v>4.1687499999999966</c:v>
                </c:pt>
                <c:pt idx="22">
                  <c:v>4.2124999999999968</c:v>
                </c:pt>
                <c:pt idx="23">
                  <c:v>4.256249999999997</c:v>
                </c:pt>
                <c:pt idx="24">
                  <c:v>4.2999999999999972</c:v>
                </c:pt>
                <c:pt idx="25">
                  <c:v>4.3437499999999973</c:v>
                </c:pt>
                <c:pt idx="26">
                  <c:v>4.3874999999999975</c:v>
                </c:pt>
                <c:pt idx="27">
                  <c:v>4.4312499999999977</c:v>
                </c:pt>
                <c:pt idx="28">
                  <c:v>4.4749999999999979</c:v>
                </c:pt>
                <c:pt idx="29">
                  <c:v>4.518749999999998</c:v>
                </c:pt>
                <c:pt idx="30">
                  <c:v>4.5624999999999982</c:v>
                </c:pt>
                <c:pt idx="31">
                  <c:v>4.6062499999999984</c:v>
                </c:pt>
                <c:pt idx="32">
                  <c:v>4.6499999999999986</c:v>
                </c:pt>
                <c:pt idx="33">
                  <c:v>4.6937499999999988</c:v>
                </c:pt>
                <c:pt idx="34">
                  <c:v>4.7374999999999989</c:v>
                </c:pt>
                <c:pt idx="35">
                  <c:v>4.7812499999999991</c:v>
                </c:pt>
                <c:pt idx="36">
                  <c:v>4.8249999999999993</c:v>
                </c:pt>
                <c:pt idx="37">
                  <c:v>4.8687499999999995</c:v>
                </c:pt>
                <c:pt idx="38">
                  <c:v>4.9124999999999996</c:v>
                </c:pt>
                <c:pt idx="39">
                  <c:v>4.9562499999999998</c:v>
                </c:pt>
                <c:pt idx="40">
                  <c:v>5</c:v>
                </c:pt>
              </c:numCache>
            </c:numRef>
          </c:cat>
          <c:val>
            <c:numRef>
              <c:f>Graphic!$AR$40:$AR$80</c:f>
              <c:numCache>
                <c:formatCode>#,##0.0000</c:formatCode>
                <c:ptCount val="41"/>
                <c:pt idx="0">
                  <c:v>-1.5378415026948345E-4</c:v>
                </c:pt>
                <c:pt idx="1">
                  <c:v>-3.3349089788331439E-4</c:v>
                </c:pt>
                <c:pt idx="2">
                  <c:v>-6.7079775872636157E-4</c:v>
                </c:pt>
                <c:pt idx="3">
                  <c:v>-1.2539616662718398E-3</c:v>
                </c:pt>
                <c:pt idx="4">
                  <c:v>-2.1821804133050344E-3</c:v>
                </c:pt>
                <c:pt idx="5">
                  <c:v>-3.5399520489595221E-3</c:v>
                </c:pt>
                <c:pt idx="6">
                  <c:v>-5.3581680992097914E-3</c:v>
                </c:pt>
                <c:pt idx="7">
                  <c:v>-7.5706513263617704E-3</c:v>
                </c:pt>
                <c:pt idx="8">
                  <c:v>-9.9821501063629553E-3</c:v>
                </c:pt>
                <c:pt idx="9">
                  <c:v>-1.2266305677210558E-2</c:v>
                </c:pt>
                <c:pt idx="10">
                  <c:v>-1.4006298491089052E-2</c:v>
                </c:pt>
                <c:pt idx="11">
                  <c:v>-1.4776901023746996E-2</c:v>
                </c:pt>
                <c:pt idx="12">
                  <c:v>-1.4249382661111183E-2</c:v>
                </c:pt>
                <c:pt idx="13">
                  <c:v>-1.2287950751333508E-2</c:v>
                </c:pt>
                <c:pt idx="14">
                  <c:v>-9.0049837836937603E-3</c:v>
                </c:pt>
                <c:pt idx="15">
                  <c:v>-4.7541187055795278E-3</c:v>
                </c:pt>
                <c:pt idx="16">
                  <c:v>-6.0900813272892555E-5</c:v>
                </c:pt>
                <c:pt idx="17">
                  <c:v>4.4884163304393133E-3</c:v>
                </c:pt>
                <c:pt idx="18">
                  <c:v>8.3667228215137807E-3</c:v>
                </c:pt>
                <c:pt idx="19">
                  <c:v>1.1201374530742774E-2</c:v>
                </c:pt>
                <c:pt idx="20">
                  <c:v>1.2823070963964988E-2</c:v>
                </c:pt>
                <c:pt idx="21">
                  <c:v>1.3263159222333919E-2</c:v>
                </c:pt>
                <c:pt idx="22">
                  <c:v>1.2709631886934048E-2</c:v>
                </c:pt>
                <c:pt idx="23">
                  <c:v>1.1441113754195492E-2</c:v>
                </c:pt>
                <c:pt idx="24">
                  <c:v>9.7592894802165202E-3</c:v>
                </c:pt>
                <c:pt idx="25">
                  <c:v>7.9351904517274228E-3</c:v>
                </c:pt>
                <c:pt idx="26">
                  <c:v>6.1768686919674133E-3</c:v>
                </c:pt>
                <c:pt idx="27">
                  <c:v>4.6185047927380556E-3</c:v>
                </c:pt>
                <c:pt idx="28">
                  <c:v>3.3259866188425245E-3</c:v>
                </c:pt>
                <c:pt idx="29">
                  <c:v>2.3120188671260414E-3</c:v>
                </c:pt>
                <c:pt idx="30">
                  <c:v>1.5543066703633175E-3</c:v>
                </c:pt>
                <c:pt idx="31">
                  <c:v>1.0122144393403458E-3</c:v>
                </c:pt>
                <c:pt idx="32">
                  <c:v>6.3948879221440238E-4</c:v>
                </c:pt>
                <c:pt idx="33">
                  <c:v>3.9245287647968636E-4</c:v>
                </c:pt>
                <c:pt idx="34">
                  <c:v>2.3423610492195778E-4</c:v>
                </c:pt>
                <c:pt idx="35">
                  <c:v>1.3611522677602463E-4</c:v>
                </c:pt>
                <c:pt idx="36">
                  <c:v>7.7087712284043747E-5</c:v>
                </c:pt>
                <c:pt idx="37">
                  <c:v>4.2589031562814769E-5</c:v>
                </c:pt>
                <c:pt idx="38">
                  <c:v>2.297348489220601E-5</c:v>
                </c:pt>
                <c:pt idx="39">
                  <c:v>1.210965960339546E-5</c:v>
                </c:pt>
                <c:pt idx="40">
                  <c:v>6.2424079011947959E-6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2-42DB-947E-796C83EE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0875920"/>
        <c:axId val="1"/>
      </c:lineChart>
      <c:catAx>
        <c:axId val="87087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Asset or Strike</a:t>
                </a:r>
              </a:p>
            </c:rich>
          </c:tx>
          <c:layout>
            <c:manualLayout>
              <c:xMode val="edge"/>
              <c:yMode val="edge"/>
              <c:x val="0.46713318614318328"/>
              <c:y val="0.936686992054731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70875920"/>
        <c:crosses val="autoZero"/>
        <c:crossBetween val="between"/>
      </c:valAx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9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8.8480801335559259E-2"/>
          <c:y val="8.4745850380952871E-3"/>
          <c:w val="0.75292153589315525"/>
          <c:h val="0.90678059907619579"/>
        </c:manualLayout>
      </c:layout>
      <c:surface3DChart>
        <c:wireframe val="0"/>
        <c:ser>
          <c:idx val="0"/>
          <c:order val="0"/>
          <c:tx>
            <c:strRef>
              <c:f>Graphic!$T$66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Graphic!$U$66:$AO$66</c:f>
              <c:numCache>
                <c:formatCode>#,##0.0000</c:formatCode>
                <c:ptCount val="21"/>
                <c:pt idx="0">
                  <c:v>-1.3803055152212841E-2</c:v>
                </c:pt>
                <c:pt idx="1">
                  <c:v>-1.5862647596005721E-2</c:v>
                </c:pt>
                <c:pt idx="2">
                  <c:v>-1.7148233168754898E-2</c:v>
                </c:pt>
                <c:pt idx="3">
                  <c:v>-1.7797894900914331E-2</c:v>
                </c:pt>
                <c:pt idx="4">
                  <c:v>-1.7967924307898866E-2</c:v>
                </c:pt>
                <c:pt idx="5">
                  <c:v>-1.7797219851566324E-2</c:v>
                </c:pt>
                <c:pt idx="6">
                  <c:v>-1.7396665063125715E-2</c:v>
                </c:pt>
                <c:pt idx="7">
                  <c:v>-1.684966706329272E-2</c:v>
                </c:pt>
                <c:pt idx="8">
                  <c:v>-1.6216627449889873E-2</c:v>
                </c:pt>
                <c:pt idx="9">
                  <c:v>-1.5540085071387018E-2</c:v>
                </c:pt>
                <c:pt idx="10">
                  <c:v>-1.4849282464080057E-2</c:v>
                </c:pt>
                <c:pt idx="11">
                  <c:v>-1.4163820030010814E-2</c:v>
                </c:pt>
                <c:pt idx="12">
                  <c:v>-1.3496428904896078E-2</c:v>
                </c:pt>
                <c:pt idx="13">
                  <c:v>-1.2855012263955303E-2</c:v>
                </c:pt>
                <c:pt idx="14">
                  <c:v>-1.2244120567681704E-2</c:v>
                </c:pt>
                <c:pt idx="15">
                  <c:v>-1.1666005083636575E-2</c:v>
                </c:pt>
                <c:pt idx="16">
                  <c:v>-1.1121364037583938E-2</c:v>
                </c:pt>
                <c:pt idx="17">
                  <c:v>-1.060986767852768E-2</c:v>
                </c:pt>
                <c:pt idx="18">
                  <c:v>-1.0130525607515211E-2</c:v>
                </c:pt>
                <c:pt idx="19">
                  <c:v>-9.6819421439282623E-3</c:v>
                </c:pt>
                <c:pt idx="20">
                  <c:v>-9.2624924925304303E-3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7-4AFB-A1F4-C586B97FB108}"/>
            </c:ext>
          </c:extLst>
        </c:ser>
        <c:ser>
          <c:idx val="1"/>
          <c:order val="1"/>
          <c:tx>
            <c:strRef>
              <c:f>Graphic!$T$67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9933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Graphic!$U$67:$AO$67</c:f>
              <c:numCache>
                <c:formatCode>#,##0.0000</c:formatCode>
                <c:ptCount val="21"/>
                <c:pt idx="0">
                  <c:v>-2.134072251868405E-2</c:v>
                </c:pt>
                <c:pt idx="1">
                  <c:v>-2.188314141448543E-2</c:v>
                </c:pt>
                <c:pt idx="2">
                  <c:v>-2.1698475417691876E-2</c:v>
                </c:pt>
                <c:pt idx="3">
                  <c:v>-2.1062020853755213E-2</c:v>
                </c:pt>
                <c:pt idx="4">
                  <c:v>-2.016879226329818E-2</c:v>
                </c:pt>
                <c:pt idx="5">
                  <c:v>-1.9148825811145749E-2</c:v>
                </c:pt>
                <c:pt idx="6">
                  <c:v>-1.8085255238712555E-2</c:v>
                </c:pt>
                <c:pt idx="7">
                  <c:v>-1.7029226714772475E-2</c:v>
                </c:pt>
                <c:pt idx="8">
                  <c:v>-1.6010774756009212E-2</c:v>
                </c:pt>
                <c:pt idx="9">
                  <c:v>-1.5046308788497911E-2</c:v>
                </c:pt>
                <c:pt idx="10">
                  <c:v>-1.4143611443605104E-2</c:v>
                </c:pt>
                <c:pt idx="11">
                  <c:v>-1.3305116700904195E-2</c:v>
                </c:pt>
                <c:pt idx="12">
                  <c:v>-1.2530034715908758E-2</c:v>
                </c:pt>
                <c:pt idx="13">
                  <c:v>-1.1815716009464617E-2</c:v>
                </c:pt>
                <c:pt idx="14">
                  <c:v>-1.1158518600692629E-2</c:v>
                </c:pt>
                <c:pt idx="15">
                  <c:v>-1.0554352138490139E-2</c:v>
                </c:pt>
                <c:pt idx="16">
                  <c:v>-9.9990130082229251E-3</c:v>
                </c:pt>
                <c:pt idx="17">
                  <c:v>-9.4883847468091205E-3</c:v>
                </c:pt>
                <c:pt idx="18">
                  <c:v>-9.0185521565567667E-3</c:v>
                </c:pt>
                <c:pt idx="19">
                  <c:v>-8.5858605907914581E-3</c:v>
                </c:pt>
                <c:pt idx="20">
                  <c:v>-8.1869408618401238E-3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D7-4AFB-A1F4-C586B97FB108}"/>
            </c:ext>
          </c:extLst>
        </c:ser>
        <c:ser>
          <c:idx val="2"/>
          <c:order val="2"/>
          <c:tx>
            <c:strRef>
              <c:f>Graphic!$T$68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FF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Graphic!$U$68:$AO$68</c:f>
              <c:numCache>
                <c:formatCode>#,##0.0000</c:formatCode>
                <c:ptCount val="21"/>
                <c:pt idx="0">
                  <c:v>-2.6898777608480237E-2</c:v>
                </c:pt>
                <c:pt idx="1">
                  <c:v>-2.5293751673911114E-2</c:v>
                </c:pt>
                <c:pt idx="2">
                  <c:v>-2.3491638977499289E-2</c:v>
                </c:pt>
                <c:pt idx="3">
                  <c:v>-2.1679997687672557E-2</c:v>
                </c:pt>
                <c:pt idx="4">
                  <c:v>-1.9954120410401066E-2</c:v>
                </c:pt>
                <c:pt idx="5">
                  <c:v>-1.8356987126100292E-2</c:v>
                </c:pt>
                <c:pt idx="6">
                  <c:v>-1.6902928071860716E-2</c:v>
                </c:pt>
                <c:pt idx="7">
                  <c:v>-1.5591199398362517E-2</c:v>
                </c:pt>
                <c:pt idx="8">
                  <c:v>-1.441362179038813E-2</c:v>
                </c:pt>
                <c:pt idx="9">
                  <c:v>-1.3358803874455672E-2</c:v>
                </c:pt>
                <c:pt idx="10">
                  <c:v>-1.2414423496944143E-2</c:v>
                </c:pt>
                <c:pt idx="11">
                  <c:v>-1.1568413119289547E-2</c:v>
                </c:pt>
                <c:pt idx="12">
                  <c:v>-1.0809532258262098E-2</c:v>
                </c:pt>
                <c:pt idx="13">
                  <c:v>-1.0127601845288367E-2</c:v>
                </c:pt>
                <c:pt idx="14">
                  <c:v>-9.5135566410334306E-3</c:v>
                </c:pt>
                <c:pt idx="15">
                  <c:v>-8.9594040452261377E-3</c:v>
                </c:pt>
                <c:pt idx="16">
                  <c:v>-8.4581388682308748E-3</c:v>
                </c:pt>
                <c:pt idx="17">
                  <c:v>-8.0036414331814288E-3</c:v>
                </c:pt>
                <c:pt idx="18">
                  <c:v>-7.5905736830178538E-3</c:v>
                </c:pt>
                <c:pt idx="19">
                  <c:v>-7.2142807413675429E-3</c:v>
                </c:pt>
                <c:pt idx="20">
                  <c:v>-6.870701306844201E-3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D7-4AFB-A1F4-C586B97FB108}"/>
            </c:ext>
          </c:extLst>
        </c:ser>
        <c:ser>
          <c:idx val="3"/>
          <c:order val="3"/>
          <c:tx>
            <c:strRef>
              <c:f>Graphic!$T$69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CC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Graphic!$U$69:$AO$69</c:f>
              <c:numCache>
                <c:formatCode>#,##0.0000</c:formatCode>
                <c:ptCount val="21"/>
                <c:pt idx="0">
                  <c:v>-2.7019769068949106E-2</c:v>
                </c:pt>
                <c:pt idx="1">
                  <c:v>-2.391290048265372E-2</c:v>
                </c:pt>
                <c:pt idx="2">
                  <c:v>-2.1224997083515672E-2</c:v>
                </c:pt>
                <c:pt idx="3">
                  <c:v>-1.8923926526491712E-2</c:v>
                </c:pt>
                <c:pt idx="4">
                  <c:v>-1.6960087378081259E-2</c:v>
                </c:pt>
                <c:pt idx="5">
                  <c:v>-1.5282652309820817E-2</c:v>
                </c:pt>
                <c:pt idx="6">
                  <c:v>-1.3845633090769811E-2</c:v>
                </c:pt>
                <c:pt idx="7">
                  <c:v>-1.2609579022139789E-2</c:v>
                </c:pt>
                <c:pt idx="8">
                  <c:v>-1.1541492955555892E-2</c:v>
                </c:pt>
                <c:pt idx="9">
                  <c:v>-1.061410255968678E-2</c:v>
                </c:pt>
                <c:pt idx="10">
                  <c:v>-9.8049751457513438E-3</c:v>
                </c:pt>
                <c:pt idx="11">
                  <c:v>-9.0956732635121343E-3</c:v>
                </c:pt>
                <c:pt idx="12">
                  <c:v>-8.4710192970325286E-3</c:v>
                </c:pt>
                <c:pt idx="13">
                  <c:v>-7.9184819625436904E-3</c:v>
                </c:pt>
                <c:pt idx="14">
                  <c:v>-7.4276756357379882E-3</c:v>
                </c:pt>
                <c:pt idx="15">
                  <c:v>-6.9899563111348421E-3</c:v>
                </c:pt>
                <c:pt idx="16">
                  <c:v>-6.5980972121881835E-3</c:v>
                </c:pt>
                <c:pt idx="17">
                  <c:v>-6.2460287425745963E-3</c:v>
                </c:pt>
                <c:pt idx="18">
                  <c:v>-5.9286298638531942E-3</c:v>
                </c:pt>
                <c:pt idx="19">
                  <c:v>-5.6415603697180568E-3</c:v>
                </c:pt>
                <c:pt idx="20">
                  <c:v>-5.3811256286919063E-3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D7-4AFB-A1F4-C586B97FB108}"/>
            </c:ext>
          </c:extLst>
        </c:ser>
        <c:ser>
          <c:idx val="4"/>
          <c:order val="4"/>
          <c:tx>
            <c:strRef>
              <c:f>Graphic!$T$70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6600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Graphic!$U$70:$AO$70</c:f>
              <c:numCache>
                <c:formatCode>#,##0.0000</c:formatCode>
                <c:ptCount val="21"/>
                <c:pt idx="0">
                  <c:v>-2.0030774706080421E-2</c:v>
                </c:pt>
                <c:pt idx="1">
                  <c:v>-1.7130202622443334E-2</c:v>
                </c:pt>
                <c:pt idx="2">
                  <c:v>-1.4839538574745979E-2</c:v>
                </c:pt>
                <c:pt idx="3">
                  <c:v>-1.3005061285047279E-2</c:v>
                </c:pt>
                <c:pt idx="4">
                  <c:v>-1.1516566054372035E-2</c:v>
                </c:pt>
                <c:pt idx="5">
                  <c:v>-1.0294174074552917E-2</c:v>
                </c:pt>
                <c:pt idx="6">
                  <c:v>-9.2792224655448494E-3</c:v>
                </c:pt>
                <c:pt idx="7">
                  <c:v>-8.4280377424841239E-3</c:v>
                </c:pt>
                <c:pt idx="8">
                  <c:v>-7.7076675733648622E-3</c:v>
                </c:pt>
                <c:pt idx="9">
                  <c:v>-7.0929289123001695E-3</c:v>
                </c:pt>
                <c:pt idx="10">
                  <c:v>-6.564342980480138E-3</c:v>
                </c:pt>
                <c:pt idx="11">
                  <c:v>-6.106672525881365E-3</c:v>
                </c:pt>
                <c:pt idx="12">
                  <c:v>-5.7078725068572369E-3</c:v>
                </c:pt>
                <c:pt idx="13">
                  <c:v>-5.3583279473064568E-3</c:v>
                </c:pt>
                <c:pt idx="14">
                  <c:v>-5.0502937122075889E-3</c:v>
                </c:pt>
                <c:pt idx="15">
                  <c:v>-4.7774779862374403E-3</c:v>
                </c:pt>
                <c:pt idx="16">
                  <c:v>-4.5347292312378521E-3</c:v>
                </c:pt>
                <c:pt idx="17">
                  <c:v>-4.3177985028303471E-3</c:v>
                </c:pt>
                <c:pt idx="18">
                  <c:v>-4.1231572416212323E-3</c:v>
                </c:pt>
                <c:pt idx="19">
                  <c:v>-3.9478563209445179E-3</c:v>
                </c:pt>
                <c:pt idx="20">
                  <c:v>-3.7894160759570118E-3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D7-4AFB-A1F4-C586B97FB108}"/>
            </c:ext>
          </c:extLst>
        </c:ser>
        <c:ser>
          <c:idx val="5"/>
          <c:order val="5"/>
          <c:tx>
            <c:strRef>
              <c:f>Graphic!$T$71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Graphic!$U$71:$AO$71</c:f>
              <c:numCache>
                <c:formatCode>#,##0.0000</c:formatCode>
                <c:ptCount val="21"/>
                <c:pt idx="0">
                  <c:v>-7.4578160074976474E-3</c:v>
                </c:pt>
                <c:pt idx="1">
                  <c:v>-6.4329772478497948E-3</c:v>
                </c:pt>
                <c:pt idx="2">
                  <c:v>-5.6510848991269489E-3</c:v>
                </c:pt>
                <c:pt idx="3">
                  <c:v>-5.0411132118148095E-3</c:v>
                </c:pt>
                <c:pt idx="4">
                  <c:v>-4.5561735611630337E-3</c:v>
                </c:pt>
                <c:pt idx="5">
                  <c:v>-4.1643142834644833E-3</c:v>
                </c:pt>
                <c:pt idx="6">
                  <c:v>-3.8431611196643291E-3</c:v>
                </c:pt>
                <c:pt idx="7">
                  <c:v>-3.5766716287506995E-3</c:v>
                </c:pt>
                <c:pt idx="8">
                  <c:v>-3.3531026416335043E-3</c:v>
                </c:pt>
                <c:pt idx="9">
                  <c:v>-3.1636994433750249E-3</c:v>
                </c:pt>
                <c:pt idx="10">
                  <c:v>-3.0018282258154351E-3</c:v>
                </c:pt>
                <c:pt idx="11">
                  <c:v>-2.8623885460841341E-3</c:v>
                </c:pt>
                <c:pt idx="12">
                  <c:v>-2.7414071430505831E-3</c:v>
                </c:pt>
                <c:pt idx="13">
                  <c:v>-2.635751883736573E-3</c:v>
                </c:pt>
                <c:pt idx="14">
                  <c:v>-2.5429269089911654E-3</c:v>
                </c:pt>
                <c:pt idx="15">
                  <c:v>-2.4609236795181885E-3</c:v>
                </c:pt>
                <c:pt idx="16">
                  <c:v>-2.3881111532998299E-3</c:v>
                </c:pt>
                <c:pt idx="17">
                  <c:v>-2.3231537769884078E-3</c:v>
                </c:pt>
                <c:pt idx="18">
                  <c:v>-2.2649495258309882E-3</c:v>
                </c:pt>
                <c:pt idx="19">
                  <c:v>-2.2125825823472983E-3</c:v>
                </c:pt>
                <c:pt idx="20">
                  <c:v>-2.1652868318880387E-3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D7-4AFB-A1F4-C586B97FB108}"/>
            </c:ext>
          </c:extLst>
        </c:ser>
        <c:ser>
          <c:idx val="6"/>
          <c:order val="6"/>
          <c:tx>
            <c:strRef>
              <c:f>Graphic!$T$72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66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Graphic!$U$72:$AO$72</c:f>
              <c:numCache>
                <c:formatCode>#,##0.0000</c:formatCode>
                <c:ptCount val="21"/>
                <c:pt idx="0">
                  <c:v>6.6178818593824393E-3</c:v>
                </c:pt>
                <c:pt idx="1">
                  <c:v>5.2316180594571202E-3</c:v>
                </c:pt>
                <c:pt idx="2">
                  <c:v>4.1712068388109263E-3</c:v>
                </c:pt>
                <c:pt idx="3">
                  <c:v>3.3423568449914183E-3</c:v>
                </c:pt>
                <c:pt idx="4">
                  <c:v>2.6824656476238861E-3</c:v>
                </c:pt>
                <c:pt idx="5">
                  <c:v>2.1486852644233374E-3</c:v>
                </c:pt>
                <c:pt idx="6">
                  <c:v>1.7109064284931814E-3</c:v>
                </c:pt>
                <c:pt idx="7">
                  <c:v>1.3474799148358487E-3</c:v>
                </c:pt>
                <c:pt idx="8">
                  <c:v>1.0425218847505083E-3</c:v>
                </c:pt>
                <c:pt idx="9">
                  <c:v>7.8416811069365652E-4</c:v>
                </c:pt>
                <c:pt idx="10">
                  <c:v>5.6341421064962571E-4</c:v>
                </c:pt>
                <c:pt idx="11">
                  <c:v>3.7332774254595388E-4</c:v>
                </c:pt>
                <c:pt idx="12">
                  <c:v>2.0850206645372436E-4</c:v>
                </c:pt>
                <c:pt idx="13">
                  <c:v>6.4670865790893137E-5</c:v>
                </c:pt>
                <c:pt idx="14">
                  <c:v>-6.1568440545107261E-5</c:v>
                </c:pt>
                <c:pt idx="15">
                  <c:v>-1.7295614568684707E-4</c:v>
                </c:pt>
                <c:pt idx="16">
                  <c:v>-2.7171899551778589E-4</c:v>
                </c:pt>
                <c:pt idx="17">
                  <c:v>-3.5968139981583359E-4</c:v>
                </c:pt>
                <c:pt idx="18">
                  <c:v>-4.3834954968546516E-4</c:v>
                </c:pt>
                <c:pt idx="19">
                  <c:v>-5.0897572492961801E-4</c:v>
                </c:pt>
                <c:pt idx="20">
                  <c:v>-5.7260794553089332E-4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D7-4AFB-A1F4-C586B97FB108}"/>
            </c:ext>
          </c:extLst>
        </c:ser>
        <c:ser>
          <c:idx val="7"/>
          <c:order val="7"/>
          <c:tx>
            <c:strRef>
              <c:f>Graphic!$T$73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CC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Graphic!$U$73:$AO$73</c:f>
              <c:numCache>
                <c:formatCode>#,##0.0000</c:formatCode>
                <c:ptCount val="21"/>
                <c:pt idx="0">
                  <c:v>1.7793150243463587E-2</c:v>
                </c:pt>
                <c:pt idx="1">
                  <c:v>1.4823629524208565E-2</c:v>
                </c:pt>
                <c:pt idx="2">
                  <c:v>1.2464231364252086E-2</c:v>
                </c:pt>
                <c:pt idx="3">
                  <c:v>1.0566092202162007E-2</c:v>
                </c:pt>
                <c:pt idx="4">
                  <c:v>9.0205593516402525E-3</c:v>
                </c:pt>
                <c:pt idx="5">
                  <c:v>7.7478678606157916E-3</c:v>
                </c:pt>
                <c:pt idx="6">
                  <c:v>6.6888799248541022E-3</c:v>
                </c:pt>
                <c:pt idx="7">
                  <c:v>5.7992460963956407E-3</c:v>
                </c:pt>
                <c:pt idx="8">
                  <c:v>5.045310897330773E-3</c:v>
                </c:pt>
                <c:pt idx="9">
                  <c:v>4.4012344712443842E-3</c:v>
                </c:pt>
                <c:pt idx="10">
                  <c:v>3.8469540267429369E-3</c:v>
                </c:pt>
                <c:pt idx="11">
                  <c:v>3.3667259294865737E-3</c:v>
                </c:pt>
                <c:pt idx="12">
                  <c:v>2.9480718203179486E-3</c:v>
                </c:pt>
                <c:pt idx="13">
                  <c:v>2.5810083722148189E-3</c:v>
                </c:pt>
                <c:pt idx="14">
                  <c:v>2.2574781875194117E-3</c:v>
                </c:pt>
                <c:pt idx="15">
                  <c:v>1.9709248420535907E-3</c:v>
                </c:pt>
                <c:pt idx="16">
                  <c:v>1.715972329131808E-3</c:v>
                </c:pt>
                <c:pt idx="17">
                  <c:v>1.4881809043328028E-3</c:v>
                </c:pt>
                <c:pt idx="18">
                  <c:v>1.2838594052372863E-3</c:v>
                </c:pt>
                <c:pt idx="19">
                  <c:v>1.0999197217308897E-3</c:v>
                </c:pt>
                <c:pt idx="20">
                  <c:v>9.337630171272832E-4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D7-4AFB-A1F4-C586B97FB108}"/>
            </c:ext>
          </c:extLst>
        </c:ser>
        <c:ser>
          <c:idx val="8"/>
          <c:order val="8"/>
          <c:tx>
            <c:strRef>
              <c:f>Graphic!$T$74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0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Graphic!$U$74:$AO$74</c:f>
              <c:numCache>
                <c:formatCode>#,##0.0000</c:formatCode>
                <c:ptCount val="21"/>
                <c:pt idx="0">
                  <c:v>2.3481760486153552E-2</c:v>
                </c:pt>
                <c:pt idx="1">
                  <c:v>2.0437365095931307E-2</c:v>
                </c:pt>
                <c:pt idx="2">
                  <c:v>1.7805116045275932E-2</c:v>
                </c:pt>
                <c:pt idx="3">
                  <c:v>1.5552484304139635E-2</c:v>
                </c:pt>
                <c:pt idx="4">
                  <c:v>1.363042356600856E-2</c:v>
                </c:pt>
                <c:pt idx="5">
                  <c:v>1.1988948417458671E-2</c:v>
                </c:pt>
                <c:pt idx="6">
                  <c:v>1.0582931203785752E-2</c:v>
                </c:pt>
                <c:pt idx="7">
                  <c:v>9.3737013074477044E-3</c:v>
                </c:pt>
                <c:pt idx="8">
                  <c:v>8.3289333673500551E-3</c:v>
                </c:pt>
                <c:pt idx="9">
                  <c:v>7.4219197224144754E-3</c:v>
                </c:pt>
                <c:pt idx="10">
                  <c:v>6.6306969439306621E-3</c:v>
                </c:pt>
                <c:pt idx="11">
                  <c:v>5.9372157725090351E-3</c:v>
                </c:pt>
                <c:pt idx="12">
                  <c:v>5.3266194830859379E-3</c:v>
                </c:pt>
                <c:pt idx="13">
                  <c:v>4.7866424501312637E-3</c:v>
                </c:pt>
                <c:pt idx="14">
                  <c:v>4.3071196053599435E-3</c:v>
                </c:pt>
                <c:pt idx="15">
                  <c:v>3.8795907163123844E-3</c:v>
                </c:pt>
                <c:pt idx="16">
                  <c:v>3.4969827516813014E-3</c:v>
                </c:pt>
                <c:pt idx="17">
                  <c:v>3.1533552891324797E-3</c:v>
                </c:pt>
                <c:pt idx="18">
                  <c:v>2.8436962931758332E-3</c:v>
                </c:pt>
                <c:pt idx="19">
                  <c:v>2.563757939786776E-3</c:v>
                </c:pt>
                <c:pt idx="20">
                  <c:v>2.309924229382971E-3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D7-4AFB-A1F4-C586B97FB108}"/>
            </c:ext>
          </c:extLst>
        </c:ser>
        <c:ser>
          <c:idx val="9"/>
          <c:order val="9"/>
          <c:tx>
            <c:strRef>
              <c:f>Graphic!$T$75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Graphic!$U$75:$AO$75</c:f>
              <c:numCache>
                <c:formatCode>#,##0.0000</c:formatCode>
                <c:ptCount val="21"/>
                <c:pt idx="0">
                  <c:v>2.3633969862805269E-2</c:v>
                </c:pt>
                <c:pt idx="1">
                  <c:v>2.1764834919072763E-2</c:v>
                </c:pt>
                <c:pt idx="2">
                  <c:v>1.9811820890529928E-2</c:v>
                </c:pt>
                <c:pt idx="3">
                  <c:v>1.7923179960952169E-2</c:v>
                </c:pt>
                <c:pt idx="4">
                  <c:v>1.6167411707186264E-2</c:v>
                </c:pt>
                <c:pt idx="5">
                  <c:v>1.4569785947021215E-2</c:v>
                </c:pt>
                <c:pt idx="6">
                  <c:v>1.3133101434501629E-2</c:v>
                </c:pt>
                <c:pt idx="7">
                  <c:v>1.1849168284666256E-2</c:v>
                </c:pt>
                <c:pt idx="8">
                  <c:v>1.0705029894324708E-2</c:v>
                </c:pt>
                <c:pt idx="9">
                  <c:v>9.6862532181018462E-3</c:v>
                </c:pt>
                <c:pt idx="10">
                  <c:v>8.7786021398654143E-3</c:v>
                </c:pt>
                <c:pt idx="11">
                  <c:v>7.9688280106828026E-3</c:v>
                </c:pt>
                <c:pt idx="12">
                  <c:v>7.244985344225202E-3</c:v>
                </c:pt>
                <c:pt idx="13">
                  <c:v>6.5964987483006195E-3</c:v>
                </c:pt>
                <c:pt idx="14">
                  <c:v>6.0141057781317253E-3</c:v>
                </c:pt>
                <c:pt idx="15">
                  <c:v>5.4897438255213978E-3</c:v>
                </c:pt>
                <c:pt idx="16">
                  <c:v>5.0164175762056704E-3</c:v>
                </c:pt>
                <c:pt idx="17">
                  <c:v>4.5880659673699867E-3</c:v>
                </c:pt>
                <c:pt idx="18">
                  <c:v>4.1994378279105321E-3</c:v>
                </c:pt>
                <c:pt idx="19">
                  <c:v>3.8459800537827961E-3</c:v>
                </c:pt>
                <c:pt idx="20">
                  <c:v>3.5237393280856135E-3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D7-4AFB-A1F4-C586B97FB108}"/>
            </c:ext>
          </c:extLst>
        </c:ser>
        <c:ser>
          <c:idx val="10"/>
          <c:order val="10"/>
          <c:tx>
            <c:strRef>
              <c:f>Graphic!$T$76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Graphic!$U$76:$AO$76</c:f>
              <c:numCache>
                <c:formatCode>#,##0.0000</c:formatCode>
                <c:ptCount val="21"/>
                <c:pt idx="0">
                  <c:v>1.9999907267086017E-2</c:v>
                </c:pt>
                <c:pt idx="1">
                  <c:v>1.9763776308139438E-2</c:v>
                </c:pt>
                <c:pt idx="2">
                  <c:v>1.8990938444120965E-2</c:v>
                </c:pt>
                <c:pt idx="3">
                  <c:v>1.7928914117927627E-2</c:v>
                </c:pt>
                <c:pt idx="4">
                  <c:v>1.6737915476252092E-2</c:v>
                </c:pt>
                <c:pt idx="5">
                  <c:v>1.5516325326227496E-2</c:v>
                </c:pt>
                <c:pt idx="6">
                  <c:v>1.4321657290400622E-2</c:v>
                </c:pt>
                <c:pt idx="7">
                  <c:v>1.3185439159900589E-2</c:v>
                </c:pt>
                <c:pt idx="8">
                  <c:v>1.2123115393981764E-2</c:v>
                </c:pt>
                <c:pt idx="9">
                  <c:v>1.1140418150504346E-2</c:v>
                </c:pt>
                <c:pt idx="10">
                  <c:v>1.0237386776031534E-2</c:v>
                </c:pt>
                <c:pt idx="11">
                  <c:v>9.4108692845779589E-3</c:v>
                </c:pt>
                <c:pt idx="12">
                  <c:v>8.6560598299522448E-3</c:v>
                </c:pt>
                <c:pt idx="13">
                  <c:v>7.9674296670955071E-3</c:v>
                </c:pt>
                <c:pt idx="14">
                  <c:v>7.3392789048470526E-3</c:v>
                </c:pt>
                <c:pt idx="15">
                  <c:v>6.7660525250902524E-3</c:v>
                </c:pt>
                <c:pt idx="16">
                  <c:v>6.2425109144824201E-3</c:v>
                </c:pt>
                <c:pt idx="17">
                  <c:v>5.7638115661672361E-3</c:v>
                </c:pt>
                <c:pt idx="18">
                  <c:v>5.3255374586064228E-3</c:v>
                </c:pt>
                <c:pt idx="19">
                  <c:v>4.923694301352137E-3</c:v>
                </c:pt>
                <c:pt idx="20">
                  <c:v>4.5546904458460009E-3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D7-4AFB-A1F4-C586B97FB108}"/>
            </c:ext>
          </c:extLst>
        </c:ser>
        <c:ser>
          <c:idx val="11"/>
          <c:order val="11"/>
          <c:tx>
            <c:strRef>
              <c:f>Graphic!$T$77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Graphic!$U$77:$AO$77</c:f>
              <c:numCache>
                <c:formatCode>#,##0.0000</c:formatCode>
                <c:ptCount val="21"/>
                <c:pt idx="0">
                  <c:v>1.4821702466266207E-2</c:v>
                </c:pt>
                <c:pt idx="1">
                  <c:v>1.5933567713315298E-2</c:v>
                </c:pt>
                <c:pt idx="2">
                  <c:v>1.6328347677602592E-2</c:v>
                </c:pt>
                <c:pt idx="3">
                  <c:v>1.6212243462694269E-2</c:v>
                </c:pt>
                <c:pt idx="4">
                  <c:v>1.5758155347000355E-2</c:v>
                </c:pt>
                <c:pt idx="5">
                  <c:v>1.509628188191255E-2</c:v>
                </c:pt>
                <c:pt idx="6">
                  <c:v>1.4318916505079732E-2</c:v>
                </c:pt>
                <c:pt idx="7">
                  <c:v>1.3488879204982332E-2</c:v>
                </c:pt>
                <c:pt idx="8">
                  <c:v>1.2647521587130717E-2</c:v>
                </c:pt>
                <c:pt idx="9">
                  <c:v>1.1821132270250636E-2</c:v>
                </c:pt>
                <c:pt idx="10">
                  <c:v>1.1025684681001999E-2</c:v>
                </c:pt>
                <c:pt idx="11">
                  <c:v>1.0270216474819635E-2</c:v>
                </c:pt>
                <c:pt idx="12">
                  <c:v>9.5591789943384811E-3</c:v>
                </c:pt>
                <c:pt idx="13">
                  <c:v>8.8940466233272692E-3</c:v>
                </c:pt>
                <c:pt idx="14">
                  <c:v>8.2744077504779533E-3</c:v>
                </c:pt>
                <c:pt idx="15">
                  <c:v>7.6986979788962627E-3</c:v>
                </c:pt>
                <c:pt idx="16">
                  <c:v>7.1646886347975017E-3</c:v>
                </c:pt>
                <c:pt idx="17">
                  <c:v>6.6698088598573834E-3</c:v>
                </c:pt>
                <c:pt idx="18">
                  <c:v>6.2113550022530909E-3</c:v>
                </c:pt>
                <c:pt idx="19">
                  <c:v>5.7866239769107063E-3</c:v>
                </c:pt>
                <c:pt idx="20">
                  <c:v>5.392995560895163E-3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D7-4AFB-A1F4-C586B97FB108}"/>
            </c:ext>
          </c:extLst>
        </c:ser>
        <c:ser>
          <c:idx val="12"/>
          <c:order val="12"/>
          <c:tx>
            <c:strRef>
              <c:f>Graphic!$T$78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800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Graphic!$U$78:$AO$78</c:f>
              <c:numCache>
                <c:formatCode>#,##0.0000</c:formatCode>
                <c:ptCount val="21"/>
                <c:pt idx="0">
                  <c:v>9.8377932505848351E-3</c:v>
                </c:pt>
                <c:pt idx="1">
                  <c:v>1.1655959714380139E-2</c:v>
                </c:pt>
                <c:pt idx="2">
                  <c:v>1.2864538209136446E-2</c:v>
                </c:pt>
                <c:pt idx="3">
                  <c:v>1.353515168474799E-2</c:v>
                </c:pt>
                <c:pt idx="4">
                  <c:v>1.3778228585047016E-2</c:v>
                </c:pt>
                <c:pt idx="5">
                  <c:v>1.3704022345458346E-2</c:v>
                </c:pt>
                <c:pt idx="6">
                  <c:v>1.3406735053318406E-2</c:v>
                </c:pt>
                <c:pt idx="7">
                  <c:v>1.2960693839164792E-2</c:v>
                </c:pt>
                <c:pt idx="8">
                  <c:v>1.2421794049448454E-2</c:v>
                </c:pt>
                <c:pt idx="9">
                  <c:v>1.1830707022166251E-2</c:v>
                </c:pt>
                <c:pt idx="10">
                  <c:v>1.1216266106505208E-2</c:v>
                </c:pt>
                <c:pt idx="11">
                  <c:v>1.0598422937333542E-2</c:v>
                </c:pt>
                <c:pt idx="12">
                  <c:v>9.9906184032956084E-3</c:v>
                </c:pt>
                <c:pt idx="13">
                  <c:v>9.401599054785997E-3</c:v>
                </c:pt>
                <c:pt idx="14">
                  <c:v>8.8367713417187403E-3</c:v>
                </c:pt>
                <c:pt idx="15">
                  <c:v>8.2991940759311617E-3</c:v>
                </c:pt>
                <c:pt idx="16">
                  <c:v>7.7902974388003718E-3</c:v>
                </c:pt>
                <c:pt idx="17">
                  <c:v>7.3103995677419398E-3</c:v>
                </c:pt>
                <c:pt idx="18">
                  <c:v>6.8590752361889894E-3</c:v>
                </c:pt>
                <c:pt idx="19">
                  <c:v>6.4354173529215641E-3</c:v>
                </c:pt>
                <c:pt idx="20">
                  <c:v>6.0382212171851456E-3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D7-4AFB-A1F4-C586B97FB108}"/>
            </c:ext>
          </c:extLst>
        </c:ser>
        <c:ser>
          <c:idx val="13"/>
          <c:order val="13"/>
          <c:tx>
            <c:strRef>
              <c:f>Graphic!$T$79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Graphic!$U$79:$AO$79</c:f>
              <c:numCache>
                <c:formatCode>#,##0.0000</c:formatCode>
                <c:ptCount val="21"/>
                <c:pt idx="0">
                  <c:v>5.9341302515698857E-3</c:v>
                </c:pt>
                <c:pt idx="1">
                  <c:v>7.8449618475029993E-3</c:v>
                </c:pt>
                <c:pt idx="2">
                  <c:v>9.4123117041125179E-3</c:v>
                </c:pt>
                <c:pt idx="3">
                  <c:v>1.0569469650526265E-2</c:v>
                </c:pt>
                <c:pt idx="4">
                  <c:v>1.1331836235786923E-2</c:v>
                </c:pt>
                <c:pt idx="5">
                  <c:v>1.1754200800023304E-2</c:v>
                </c:pt>
                <c:pt idx="6">
                  <c:v>1.1903342201929417E-2</c:v>
                </c:pt>
                <c:pt idx="7">
                  <c:v>1.1843562136958641E-2</c:v>
                </c:pt>
                <c:pt idx="8">
                  <c:v>1.1630488267145972E-2</c:v>
                </c:pt>
                <c:pt idx="9">
                  <c:v>1.1309415190382593E-2</c:v>
                </c:pt>
                <c:pt idx="10">
                  <c:v>1.0915822397716197E-2</c:v>
                </c:pt>
                <c:pt idx="11">
                  <c:v>1.0476751607681767E-2</c:v>
                </c:pt>
                <c:pt idx="12">
                  <c:v>1.0012376892293531E-2</c:v>
                </c:pt>
                <c:pt idx="13">
                  <c:v>9.5374669178450566E-3</c:v>
                </c:pt>
                <c:pt idx="14">
                  <c:v>9.0626291249469755E-3</c:v>
                </c:pt>
                <c:pt idx="15">
                  <c:v>8.5953173917665236E-3</c:v>
                </c:pt>
                <c:pt idx="16">
                  <c:v>8.1406241542443577E-3</c:v>
                </c:pt>
                <c:pt idx="17">
                  <c:v>7.7018912595374165E-3</c:v>
                </c:pt>
                <c:pt idx="18">
                  <c:v>7.281174991092116E-3</c:v>
                </c:pt>
                <c:pt idx="19">
                  <c:v>6.8795968766252966E-3</c:v>
                </c:pt>
                <c:pt idx="20">
                  <c:v>6.497606548511183E-3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D7-4AFB-A1F4-C586B97FB108}"/>
            </c:ext>
          </c:extLst>
        </c:ser>
        <c:ser>
          <c:idx val="14"/>
          <c:order val="14"/>
          <c:tx>
            <c:strRef>
              <c:f>Graphic!$T$80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Graphic!$U$80:$AO$80</c:f>
              <c:numCache>
                <c:formatCode>#,##0.0000</c:formatCode>
                <c:ptCount val="21"/>
                <c:pt idx="0">
                  <c:v>3.2873583619684667E-3</c:v>
                </c:pt>
                <c:pt idx="1">
                  <c:v>4.9057043686827643E-3</c:v>
                </c:pt>
                <c:pt idx="2">
                  <c:v>6.4547745264451574E-3</c:v>
                </c:pt>
                <c:pt idx="3">
                  <c:v>7.7889372411804074E-3</c:v>
                </c:pt>
                <c:pt idx="4">
                  <c:v>8.8423474384368358E-3</c:v>
                </c:pt>
                <c:pt idx="5">
                  <c:v>9.6063198508119091E-3</c:v>
                </c:pt>
                <c:pt idx="6">
                  <c:v>1.0105009860726471E-2</c:v>
                </c:pt>
                <c:pt idx="7">
                  <c:v>1.0377327898239686E-2</c:v>
                </c:pt>
                <c:pt idx="8">
                  <c:v>1.0465742052817625E-2</c:v>
                </c:pt>
                <c:pt idx="9">
                  <c:v>1.0410286274529924E-2</c:v>
                </c:pt>
                <c:pt idx="10">
                  <c:v>1.0245899394977083E-2</c:v>
                </c:pt>
                <c:pt idx="11">
                  <c:v>1.0001670515654464E-2</c:v>
                </c:pt>
                <c:pt idx="12">
                  <c:v>9.7010645769806895E-3</c:v>
                </c:pt>
                <c:pt idx="13">
                  <c:v>9.3625801726004865E-3</c:v>
                </c:pt>
                <c:pt idx="14">
                  <c:v>9.0005394954431033E-3</c:v>
                </c:pt>
                <c:pt idx="15">
                  <c:v>8.6258595839384875E-3</c:v>
                </c:pt>
                <c:pt idx="16">
                  <c:v>8.2467385723917711E-3</c:v>
                </c:pt>
                <c:pt idx="17">
                  <c:v>7.8692357841177365E-3</c:v>
                </c:pt>
                <c:pt idx="18">
                  <c:v>7.4977468924842926E-3</c:v>
                </c:pt>
                <c:pt idx="19">
                  <c:v>7.1353852048786628E-3</c:v>
                </c:pt>
                <c:pt idx="20">
                  <c:v>6.7842833514973879E-3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D7-4AFB-A1F4-C586B97FB108}"/>
            </c:ext>
          </c:extLst>
        </c:ser>
        <c:ser>
          <c:idx val="15"/>
          <c:order val="15"/>
          <c:tx>
            <c:strRef>
              <c:f>Graphic!$T$81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0000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Graphic!$U$81:$AO$81</c:f>
              <c:numCache>
                <c:formatCode>#,##0.0000</c:formatCode>
                <c:ptCount val="21"/>
                <c:pt idx="0">
                  <c:v>1.686216017780203E-3</c:v>
                </c:pt>
                <c:pt idx="1">
                  <c:v>2.8716251959761802E-3</c:v>
                </c:pt>
                <c:pt idx="2">
                  <c:v>4.178068461837531E-3</c:v>
                </c:pt>
                <c:pt idx="3">
                  <c:v>5.452535005471674E-3</c:v>
                </c:pt>
                <c:pt idx="4">
                  <c:v>6.587623494738468E-3</c:v>
                </c:pt>
                <c:pt idx="5">
                  <c:v>7.5262178481276497E-3</c:v>
                </c:pt>
                <c:pt idx="6">
                  <c:v>8.2506885177432241E-3</c:v>
                </c:pt>
                <c:pt idx="7">
                  <c:v>8.7689360079909462E-3</c:v>
                </c:pt>
                <c:pt idx="8">
                  <c:v>9.1026969070923443E-3</c:v>
                </c:pt>
                <c:pt idx="9">
                  <c:v>9.2794193523977539E-3</c:v>
                </c:pt>
                <c:pt idx="10">
                  <c:v>9.3272877602159458E-3</c:v>
                </c:pt>
                <c:pt idx="11">
                  <c:v>9.2725254456673678E-3</c:v>
                </c:pt>
                <c:pt idx="12">
                  <c:v>9.1381689819160141E-3</c:v>
                </c:pt>
                <c:pt idx="13">
                  <c:v>8.9437147117078699E-3</c:v>
                </c:pt>
                <c:pt idx="14">
                  <c:v>8.7052380670578477E-3</c:v>
                </c:pt>
                <c:pt idx="15">
                  <c:v>8.4357386021455642E-3</c:v>
                </c:pt>
                <c:pt idx="16">
                  <c:v>8.145567093143638E-3</c:v>
                </c:pt>
                <c:pt idx="17">
                  <c:v>7.842856694506517E-3</c:v>
                </c:pt>
                <c:pt idx="18">
                  <c:v>7.5339197080100543E-3</c:v>
                </c:pt>
                <c:pt idx="19">
                  <c:v>7.2235942760234591E-3</c:v>
                </c:pt>
                <c:pt idx="20">
                  <c:v>6.9155377098006144E-3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D7-4AFB-A1F4-C586B97FB108}"/>
            </c:ext>
          </c:extLst>
        </c:ser>
        <c:ser>
          <c:idx val="16"/>
          <c:order val="16"/>
          <c:tx>
            <c:strRef>
              <c:f>Graphic!$T$82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00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Graphic!$U$82:$AO$82</c:f>
              <c:numCache>
                <c:formatCode>#,##0.0000</c:formatCode>
                <c:ptCount val="21"/>
                <c:pt idx="0">
                  <c:v>8.0620423701533361E-4</c:v>
                </c:pt>
                <c:pt idx="1">
                  <c:v>1.58299112575839E-3</c:v>
                </c:pt>
                <c:pt idx="2">
                  <c:v>2.5667151376580983E-3</c:v>
                </c:pt>
                <c:pt idx="3">
                  <c:v>3.6446122474620497E-3</c:v>
                </c:pt>
                <c:pt idx="4">
                  <c:v>4.7086583888637165E-3</c:v>
                </c:pt>
                <c:pt idx="5">
                  <c:v>5.6789628861655464E-3</c:v>
                </c:pt>
                <c:pt idx="6">
                  <c:v>6.5083434351685052E-3</c:v>
                </c:pt>
                <c:pt idx="7">
                  <c:v>7.1770952832333548E-3</c:v>
                </c:pt>
                <c:pt idx="8">
                  <c:v>7.6848398107728332E-3</c:v>
                </c:pt>
                <c:pt idx="9">
                  <c:v>8.0429722342286979E-3</c:v>
                </c:pt>
                <c:pt idx="10">
                  <c:v>8.2689200252795744E-3</c:v>
                </c:pt>
                <c:pt idx="11">
                  <c:v>8.3822720586206306E-3</c:v>
                </c:pt>
                <c:pt idx="12">
                  <c:v>8.4024136230355598E-3</c:v>
                </c:pt>
                <c:pt idx="13">
                  <c:v>8.3472318508031346E-3</c:v>
                </c:pt>
                <c:pt idx="14">
                  <c:v>8.2325214604769045E-3</c:v>
                </c:pt>
                <c:pt idx="15">
                  <c:v>8.0718176005147909E-3</c:v>
                </c:pt>
                <c:pt idx="16">
                  <c:v>7.876469995909954E-3</c:v>
                </c:pt>
                <c:pt idx="17">
                  <c:v>7.6558392818888397E-3</c:v>
                </c:pt>
                <c:pt idx="18">
                  <c:v>7.4175430058195648E-3</c:v>
                </c:pt>
                <c:pt idx="19">
                  <c:v>7.1677095507829821E-3</c:v>
                </c:pt>
                <c:pt idx="20">
                  <c:v>6.9112176987928143E-3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D7-4AFB-A1F4-C586B97FB108}"/>
            </c:ext>
          </c:extLst>
        </c:ser>
        <c:ser>
          <c:idx val="17"/>
          <c:order val="17"/>
          <c:tx>
            <c:strRef>
              <c:f>Graphic!$T$83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CC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Graphic!$U$83:$AO$83</c:f>
              <c:numCache>
                <c:formatCode>#,##0.0000</c:formatCode>
                <c:ptCount val="21"/>
                <c:pt idx="0">
                  <c:v>3.6131041436317994E-4</c:v>
                </c:pt>
                <c:pt idx="1">
                  <c:v>8.2589988738111743E-4</c:v>
                </c:pt>
                <c:pt idx="2">
                  <c:v>1.5033586138663512E-3</c:v>
                </c:pt>
                <c:pt idx="3">
                  <c:v>2.3359279652847942E-3</c:v>
                </c:pt>
                <c:pt idx="4">
                  <c:v>3.2417283303542667E-3</c:v>
                </c:pt>
                <c:pt idx="5">
                  <c:v>4.1423228166142132E-3</c:v>
                </c:pt>
                <c:pt idx="6">
                  <c:v>4.9775241232581013E-3</c:v>
                </c:pt>
                <c:pt idx="7">
                  <c:v>5.7090985737509679E-3</c:v>
                </c:pt>
                <c:pt idx="8">
                  <c:v>6.3182030057093745E-3</c:v>
                </c:pt>
                <c:pt idx="9">
                  <c:v>6.8005155667007922E-3</c:v>
                </c:pt>
                <c:pt idx="10">
                  <c:v>7.1613149358331065E-3</c:v>
                </c:pt>
                <c:pt idx="11">
                  <c:v>7.41145482512878E-3</c:v>
                </c:pt>
                <c:pt idx="12">
                  <c:v>7.5644414209480428E-3</c:v>
                </c:pt>
                <c:pt idx="13">
                  <c:v>7.6344910938184029E-3</c:v>
                </c:pt>
                <c:pt idx="14">
                  <c:v>7.6353436186510247E-3</c:v>
                </c:pt>
                <c:pt idx="15">
                  <c:v>7.5796095144541895E-3</c:v>
                </c:pt>
                <c:pt idx="16">
                  <c:v>7.4784713450262138E-3</c:v>
                </c:pt>
                <c:pt idx="17">
                  <c:v>7.341606086865112E-3</c:v>
                </c:pt>
                <c:pt idx="18">
                  <c:v>7.1772365443393835E-3</c:v>
                </c:pt>
                <c:pt idx="19">
                  <c:v>6.9922510997781039E-3</c:v>
                </c:pt>
                <c:pt idx="20">
                  <c:v>6.7923534549386832E-3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D7-4AFB-A1F4-C586B97FB108}"/>
            </c:ext>
          </c:extLst>
        </c:ser>
        <c:ser>
          <c:idx val="18"/>
          <c:order val="18"/>
          <c:tx>
            <c:strRef>
              <c:f>Graphic!$T$84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CCFF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Graphic!$U$84:$AO$84</c:f>
              <c:numCache>
                <c:formatCode>#,##0.0000</c:formatCode>
                <c:ptCount val="21"/>
                <c:pt idx="0">
                  <c:v>1.5252032162058673E-4</c:v>
                </c:pt>
                <c:pt idx="1">
                  <c:v>4.095769304474046E-4</c:v>
                </c:pt>
                <c:pt idx="2">
                  <c:v>8.4276120926636566E-4</c:v>
                </c:pt>
                <c:pt idx="3">
                  <c:v>1.4406323497959095E-3</c:v>
                </c:pt>
                <c:pt idx="4">
                  <c:v>2.1566751280394235E-3</c:v>
                </c:pt>
                <c:pt idx="5">
                  <c:v>2.9297446654124155E-3</c:v>
                </c:pt>
                <c:pt idx="6">
                  <c:v>3.7014812549492891E-3</c:v>
                </c:pt>
                <c:pt idx="7">
                  <c:v>4.4259065365627433E-3</c:v>
                </c:pt>
                <c:pt idx="8">
                  <c:v>5.0722237959035625E-3</c:v>
                </c:pt>
                <c:pt idx="9">
                  <c:v>5.6235522308870876E-3</c:v>
                </c:pt>
                <c:pt idx="10">
                  <c:v>6.073943854023686E-3</c:v>
                </c:pt>
                <c:pt idx="11">
                  <c:v>6.4251311602227332E-3</c:v>
                </c:pt>
                <c:pt idx="12">
                  <c:v>6.683699272451135E-3</c:v>
                </c:pt>
                <c:pt idx="13">
                  <c:v>6.858907028154896E-3</c:v>
                </c:pt>
                <c:pt idx="14">
                  <c:v>6.9611429678146739E-3</c:v>
                </c:pt>
                <c:pt idx="15">
                  <c:v>7.000907003142787E-3</c:v>
                </c:pt>
                <c:pt idx="16">
                  <c:v>6.9881885347387648E-3</c:v>
                </c:pt>
                <c:pt idx="17">
                  <c:v>6.9321249136697514E-3</c:v>
                </c:pt>
                <c:pt idx="18">
                  <c:v>6.8408479519171421E-3</c:v>
                </c:pt>
                <c:pt idx="19">
                  <c:v>6.7214502178656009E-3</c:v>
                </c:pt>
                <c:pt idx="20">
                  <c:v>6.5800231003960673E-3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8D7-4AFB-A1F4-C586B97FB108}"/>
            </c:ext>
          </c:extLst>
        </c:ser>
        <c:ser>
          <c:idx val="19"/>
          <c:order val="19"/>
          <c:tx>
            <c:strRef>
              <c:f>Graphic!$T$85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Graphic!$U$85:$AO$85</c:f>
              <c:numCache>
                <c:formatCode>#,##0.0000</c:formatCode>
                <c:ptCount val="21"/>
                <c:pt idx="0">
                  <c:v>6.0903639993179278E-5</c:v>
                </c:pt>
                <c:pt idx="1">
                  <c:v>1.9378835185249874E-4</c:v>
                </c:pt>
                <c:pt idx="2">
                  <c:v>4.5368388194248538E-4</c:v>
                </c:pt>
                <c:pt idx="3">
                  <c:v>8.5752550155611211E-4</c:v>
                </c:pt>
                <c:pt idx="4">
                  <c:v>1.3903680582342962E-3</c:v>
                </c:pt>
                <c:pt idx="5">
                  <c:v>2.014420224735072E-3</c:v>
                </c:pt>
                <c:pt idx="6">
                  <c:v>2.68294829873019E-3</c:v>
                </c:pt>
                <c:pt idx="7">
                  <c:v>3.3516035484014695E-3</c:v>
                </c:pt>
                <c:pt idx="8">
                  <c:v>3.9847750217632209E-3</c:v>
                </c:pt>
                <c:pt idx="9">
                  <c:v>4.5576453492007646E-3</c:v>
                </c:pt>
                <c:pt idx="10">
                  <c:v>5.0555624626916719E-3</c:v>
                </c:pt>
                <c:pt idx="11">
                  <c:v>5.4721618764917721E-3</c:v>
                </c:pt>
                <c:pt idx="12">
                  <c:v>5.8071795390485159E-3</c:v>
                </c:pt>
                <c:pt idx="13">
                  <c:v>6.0644502246650443E-3</c:v>
                </c:pt>
                <c:pt idx="14">
                  <c:v>6.2502879272935815E-3</c:v>
                </c:pt>
                <c:pt idx="15">
                  <c:v>6.3722779412518551E-3</c:v>
                </c:pt>
                <c:pt idx="16">
                  <c:v>6.4384328573466546E-3</c:v>
                </c:pt>
                <c:pt idx="17">
                  <c:v>6.456638809162106E-3</c:v>
                </c:pt>
                <c:pt idx="18">
                  <c:v>6.4343182780396179E-3</c:v>
                </c:pt>
                <c:pt idx="19">
                  <c:v>6.3782464870720187E-3</c:v>
                </c:pt>
                <c:pt idx="20">
                  <c:v>6.2944719548585814E-3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8D7-4AFB-A1F4-C586B97FB108}"/>
            </c:ext>
          </c:extLst>
        </c:ser>
        <c:ser>
          <c:idx val="20"/>
          <c:order val="20"/>
          <c:tx>
            <c:strRef>
              <c:f>Graphic!$T$86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Graphic!$U$65:$AO$65</c:f>
              <c:numCache>
                <c:formatCode>0.00%</c:formatCode>
                <c:ptCount val="2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0.15000000000000002</c:v>
                </c:pt>
                <c:pt idx="6">
                  <c:v>0.16000000000000003</c:v>
                </c:pt>
                <c:pt idx="7">
                  <c:v>0.17000000000000004</c:v>
                </c:pt>
                <c:pt idx="8">
                  <c:v>0.18000000000000005</c:v>
                </c:pt>
                <c:pt idx="9">
                  <c:v>0.19000000000000006</c:v>
                </c:pt>
                <c:pt idx="10">
                  <c:v>0.20000000000000007</c:v>
                </c:pt>
                <c:pt idx="11">
                  <c:v>0.21000000000000008</c:v>
                </c:pt>
                <c:pt idx="12">
                  <c:v>0.22000000000000008</c:v>
                </c:pt>
                <c:pt idx="13">
                  <c:v>0.23000000000000009</c:v>
                </c:pt>
                <c:pt idx="14">
                  <c:v>0.2400000000000001</c:v>
                </c:pt>
                <c:pt idx="15">
                  <c:v>0.25000000000000011</c:v>
                </c:pt>
                <c:pt idx="16">
                  <c:v>0.26000000000000012</c:v>
                </c:pt>
                <c:pt idx="17">
                  <c:v>0.27000000000000013</c:v>
                </c:pt>
                <c:pt idx="18">
                  <c:v>0.28000000000000014</c:v>
                </c:pt>
                <c:pt idx="19">
                  <c:v>0.29000000000000015</c:v>
                </c:pt>
                <c:pt idx="20">
                  <c:v>0.30000000000000016</c:v>
                </c:pt>
              </c:numCache>
            </c:numRef>
          </c:cat>
          <c:val>
            <c:numRef>
              <c:f>Graphic!$U$86:$AO$86</c:f>
              <c:numCache>
                <c:formatCode>#,##0.0000</c:formatCode>
                <c:ptCount val="21"/>
                <c:pt idx="0">
                  <c:v>2.3093187942426942E-5</c:v>
                </c:pt>
                <c:pt idx="1">
                  <c:v>8.7769590449592884E-5</c:v>
                </c:pt>
                <c:pt idx="2">
                  <c:v>2.3522585354343817E-4</c:v>
                </c:pt>
                <c:pt idx="3">
                  <c:v>4.9395812921184355E-4</c:v>
                </c:pt>
                <c:pt idx="4">
                  <c:v>8.7068449002323373E-4</c:v>
                </c:pt>
                <c:pt idx="5">
                  <c:v>1.3495033081181264E-3</c:v>
                </c:pt>
                <c:pt idx="6">
                  <c:v>1.8994509923801403E-3</c:v>
                </c:pt>
                <c:pt idx="7">
                  <c:v>2.4841078283690411E-3</c:v>
                </c:pt>
                <c:pt idx="8">
                  <c:v>3.0691495314834859E-3</c:v>
                </c:pt>
                <c:pt idx="9">
                  <c:v>3.626632778365382E-3</c:v>
                </c:pt>
                <c:pt idx="10">
                  <c:v>4.1364848833778008E-3</c:v>
                </c:pt>
                <c:pt idx="11">
                  <c:v>4.5861899815066677E-3</c:v>
                </c:pt>
                <c:pt idx="12">
                  <c:v>4.9695731881905401E-3</c:v>
                </c:pt>
                <c:pt idx="13">
                  <c:v>5.2853016191675359E-3</c:v>
                </c:pt>
                <c:pt idx="14">
                  <c:v>5.5354522182369161E-3</c:v>
                </c:pt>
                <c:pt idx="15">
                  <c:v>5.7243047307072139E-3</c:v>
                </c:pt>
                <c:pt idx="16">
                  <c:v>5.8574029869926771E-3</c:v>
                </c:pt>
                <c:pt idx="17">
                  <c:v>5.9408682939142586E-3</c:v>
                </c:pt>
                <c:pt idx="18">
                  <c:v>5.9809241343124911E-3</c:v>
                </c:pt>
                <c:pt idx="19">
                  <c:v>5.9835859277941753E-3</c:v>
                </c:pt>
                <c:pt idx="20">
                  <c:v>5.9544733475221942E-3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8D7-4AFB-A1F4-C586B97FB108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</c:bandFmts>
        <c:axId val="870883464"/>
        <c:axId val="1"/>
        <c:axId val="2"/>
      </c:surface3DChart>
      <c:catAx>
        <c:axId val="870883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Volatility</a:t>
                </a:r>
              </a:p>
            </c:rich>
          </c:tx>
          <c:layout>
            <c:manualLayout>
              <c:xMode val="edge"/>
              <c:yMode val="edge"/>
              <c:x val="0.84974958263772959"/>
              <c:y val="0.788136408542861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4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70883464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Asset or Strike</a:t>
                </a:r>
              </a:p>
            </c:rich>
          </c:tx>
          <c:layout>
            <c:manualLayout>
              <c:xMode val="edge"/>
              <c:yMode val="edge"/>
              <c:x val="0.22370617696160267"/>
              <c:y val="0.938560292969053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59" dropStyle="combo" dx="22" fmlaLink="$P$7" fmlaRange="$P$8:$P$9" sel="1" val="0"/>
</file>

<file path=xl/ctrlProps/ctrlProp2.xml><?xml version="1.0" encoding="utf-8"?>
<formControlPr xmlns="http://schemas.microsoft.com/office/spreadsheetml/2009/9/main" objectType="Drop" dropLines="59" dropStyle="combo" dx="22" fmlaLink="$R$10" fmlaRange="$R$11:$R$12" sel="2" val="0"/>
</file>

<file path=xl/ctrlProps/ctrlProp3.xml><?xml version="1.0" encoding="utf-8"?>
<formControlPr xmlns="http://schemas.microsoft.com/office/spreadsheetml/2009/9/main" objectType="Drop" dropLines="59" dropStyle="combo" dx="22" fmlaLink="$O$11" fmlaRange="$O$12:$O$16" sel="1" val="0"/>
</file>

<file path=xl/ctrlProps/ctrlProp4.xml><?xml version="1.0" encoding="utf-8"?>
<formControlPr xmlns="http://schemas.microsoft.com/office/spreadsheetml/2009/9/main" objectType="Drop" dropLines="59" dropStyle="combo" dx="22" fmlaLink="$P$11" fmlaRange="$O$12:$O$16" sel="1" val="0"/>
</file>

<file path=xl/ctrlProps/ctrlProp5.xml><?xml version="1.0" encoding="utf-8"?>
<formControlPr xmlns="http://schemas.microsoft.com/office/spreadsheetml/2009/9/main" objectType="Drop" dropLines="59" dropStyle="combo" dx="22" fmlaLink="$Q$7" fmlaRange="$Q$8:$Q$11" sel="1" val="0"/>
</file>

<file path=xl/ctrlProps/ctrlProp6.xml><?xml version="1.0" encoding="utf-8"?>
<formControlPr xmlns="http://schemas.microsoft.com/office/spreadsheetml/2009/9/main" objectType="Drop" dropLines="70" dropStyle="combo" dx="22" fmlaLink="$Q$18" fmlaRange="$Q$19:$Q$20" sel="2" val="0"/>
</file>

<file path=xl/ctrlProps/ctrlProp7.xml><?xml version="1.0" encoding="utf-8"?>
<formControlPr xmlns="http://schemas.microsoft.com/office/spreadsheetml/2009/9/main" objectType="Drop" dropLines="59" dropStyle="combo" dx="22" fmlaLink="$R$7" fmlaRange="$R$8:$R$9" sel="1" val="0"/>
</file>

<file path=xl/ctrlProps/ctrlProp8.xml><?xml version="1.0" encoding="utf-8"?>
<formControlPr xmlns="http://schemas.microsoft.com/office/spreadsheetml/2009/9/main" objectType="Drop" dropLines="70" dropStyle="combo" dx="22" fmlaLink="$X$13" fmlaRange="$Z$5:$Z$9" sel="1" val="0"/>
</file>

<file path=xl/ctrlProps/ctrlProp9.xml><?xml version="1.0" encoding="utf-8"?>
<formControlPr xmlns="http://schemas.microsoft.com/office/spreadsheetml/2009/9/main" objectType="Drop" dropLines="70" dropStyle="combo" dx="22" fmlaLink="$X$14" fmlaRange="$Y$18:$Y$27" sel="5" val="0"/>
</file>

<file path=xl/ctrlProps/ctrlProp10.xml><?xml version="1.0" encoding="utf-8"?>
<formControlPr xmlns="http://schemas.microsoft.com/office/spreadsheetml/2009/9/main" objectType="Drop" dropLines="59" dropStyle="combo" dx="22" fmlaLink="$AA$6" fmlaRange="$AA$7:$AA$8" sel="1" val="0"/>
</file>

<file path=xl/ctrlProps/ctrlProp11.xml><?xml version="1.0" encoding="utf-8"?>
<formControlPr xmlns="http://schemas.microsoft.com/office/spreadsheetml/2009/9/main" objectType="Drop" dropLines="70" dropStyle="combo" dx="22" fmlaLink="$AD$9" fmlaRange="$AD$10:$AD$11" sel="1" val="0"/>
</file>

<file path=xl/ctrlProps/ctrlProp12.xml><?xml version="1.0" encoding="utf-8"?>
<formControlPr xmlns="http://schemas.microsoft.com/office/spreadsheetml/2009/9/main" objectType="Drop" dropLines="70" dropStyle="combo" dx="22" fmlaLink="$Y$31" fmlaRange="$Y$32:$Y$33" sel="2" val="0"/>
</file>

<file path=xl/ctrlProps/ctrlProp13.xml><?xml version="1.0" encoding="utf-8"?>
<formControlPr xmlns="http://schemas.microsoft.com/office/spreadsheetml/2009/9/main" objectType="Drop" dropLines="70" dropStyle="combo" dx="22" fmlaLink="$AB$9" fmlaRange="$AB$10:$AB$11" sel="1" val="0"/>
</file>

<file path=xl/ctrlProps/ctrlProp14.xml><?xml version="1.0" encoding="utf-8"?>
<formControlPr xmlns="http://schemas.microsoft.com/office/spreadsheetml/2009/9/main" objectType="Drop" dropLines="70" dropStyle="combo" dx="22" fmlaLink="$AA$9" fmlaRange="$AA$10:$AA$1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5</xdr:row>
          <xdr:rowOff>66675</xdr:rowOff>
        </xdr:from>
        <xdr:to>
          <xdr:col>3</xdr:col>
          <xdr:colOff>704850</xdr:colOff>
          <xdr:row>6</xdr:row>
          <xdr:rowOff>142875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233D897-AAB5-4114-B89B-23C0457B7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161925</xdr:rowOff>
        </xdr:from>
        <xdr:to>
          <xdr:col>8</xdr:col>
          <xdr:colOff>752475</xdr:colOff>
          <xdr:row>9</xdr:row>
          <xdr:rowOff>28575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65D624D-2CE1-4F98-B6C3-FC05B1D97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3</xdr:col>
          <xdr:colOff>1133475</xdr:colOff>
          <xdr:row>11</xdr:row>
          <xdr:rowOff>38100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CB533DB-429E-4057-81AD-AFF2E21BD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76200</xdr:rowOff>
        </xdr:from>
        <xdr:to>
          <xdr:col>3</xdr:col>
          <xdr:colOff>1123950</xdr:colOff>
          <xdr:row>12</xdr:row>
          <xdr:rowOff>47625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A1FFF5D-E53E-43D4-9915-8B0D0B9B6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8</xdr:row>
          <xdr:rowOff>85725</xdr:rowOff>
        </xdr:from>
        <xdr:to>
          <xdr:col>3</xdr:col>
          <xdr:colOff>1047750</xdr:colOff>
          <xdr:row>9</xdr:row>
          <xdr:rowOff>142875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C35B5E5-71EF-4CF3-AD37-79514716E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11</xdr:row>
          <xdr:rowOff>85725</xdr:rowOff>
        </xdr:from>
        <xdr:to>
          <xdr:col>1</xdr:col>
          <xdr:colOff>1247775</xdr:colOff>
          <xdr:row>12</xdr:row>
          <xdr:rowOff>66675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481A0B2B-C0C9-475E-B5F5-38A59F2A0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6</xdr:row>
          <xdr:rowOff>85725</xdr:rowOff>
        </xdr:from>
        <xdr:to>
          <xdr:col>9</xdr:col>
          <xdr:colOff>428625</xdr:colOff>
          <xdr:row>7</xdr:row>
          <xdr:rowOff>142875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21110B1-0A59-414D-925D-7151BD4D7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6</xdr:row>
          <xdr:rowOff>47625</xdr:rowOff>
        </xdr:from>
        <xdr:to>
          <xdr:col>4</xdr:col>
          <xdr:colOff>200025</xdr:colOff>
          <xdr:row>7</xdr:row>
          <xdr:rowOff>123825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54BDBC4-3163-43C8-AEBB-972D04ADE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8</xdr:row>
          <xdr:rowOff>9525</xdr:rowOff>
        </xdr:from>
        <xdr:to>
          <xdr:col>3</xdr:col>
          <xdr:colOff>209550</xdr:colOff>
          <xdr:row>9</xdr:row>
          <xdr:rowOff>85725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640B584-CE22-406D-B248-CC07FFED2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152400</xdr:rowOff>
        </xdr:from>
        <xdr:to>
          <xdr:col>6</xdr:col>
          <xdr:colOff>704850</xdr:colOff>
          <xdr:row>9</xdr:row>
          <xdr:rowOff>66675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FB3B7AE-5CE8-4522-A4B1-C0D8EE8F5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85725</xdr:rowOff>
        </xdr:from>
        <xdr:to>
          <xdr:col>2</xdr:col>
          <xdr:colOff>571500</xdr:colOff>
          <xdr:row>6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3C1472E2-FEAF-4A8E-A6FB-0ADE6CC8D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15</xdr:row>
      <xdr:rowOff>66675</xdr:rowOff>
    </xdr:from>
    <xdr:to>
      <xdr:col>8</xdr:col>
      <xdr:colOff>152400</xdr:colOff>
      <xdr:row>47</xdr:row>
      <xdr:rowOff>38100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D5AB3BA7-F0C3-4282-975C-10FF22573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8</xdr:row>
          <xdr:rowOff>38100</xdr:rowOff>
        </xdr:from>
        <xdr:to>
          <xdr:col>5</xdr:col>
          <xdr:colOff>66675</xdr:colOff>
          <xdr:row>9</xdr:row>
          <xdr:rowOff>114300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8751ABE2-D232-48D5-89C5-E6C8B4576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266700</xdr:colOff>
      <xdr:row>15</xdr:row>
      <xdr:rowOff>95250</xdr:rowOff>
    </xdr:from>
    <xdr:to>
      <xdr:col>16</xdr:col>
      <xdr:colOff>676275</xdr:colOff>
      <xdr:row>47</xdr:row>
      <xdr:rowOff>28575</xdr:rowOff>
    </xdr:to>
    <xdr:graphicFrame macro="">
      <xdr:nvGraphicFramePr>
        <xdr:cNvPr id="8" name="Chart 12">
          <a:extLst>
            <a:ext uri="{FF2B5EF4-FFF2-40B4-BE49-F238E27FC236}">
              <a16:creationId xmlns:a16="http://schemas.microsoft.com/office/drawing/2014/main" id="{CAB90127-08D6-403E-BC95-BE1B0B8F3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5</xdr:row>
          <xdr:rowOff>133350</xdr:rowOff>
        </xdr:from>
        <xdr:to>
          <xdr:col>7</xdr:col>
          <xdr:colOff>466725</xdr:colOff>
          <xdr:row>7</xdr:row>
          <xdr:rowOff>47625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B693E85F-2EB0-4C45-BAC3-38CD116D5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8</xdr:row>
          <xdr:rowOff>47625</xdr:rowOff>
        </xdr:from>
        <xdr:to>
          <xdr:col>10</xdr:col>
          <xdr:colOff>285750</xdr:colOff>
          <xdr:row>9</xdr:row>
          <xdr:rowOff>123825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96B03888-9522-41F0-A6A6-991AECF63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51</xdr:row>
      <xdr:rowOff>76200</xdr:rowOff>
    </xdr:from>
    <xdr:to>
      <xdr:col>8</xdr:col>
      <xdr:colOff>133350</xdr:colOff>
      <xdr:row>79</xdr:row>
      <xdr:rowOff>38100</xdr:rowOff>
    </xdr:to>
    <xdr:graphicFrame macro="">
      <xdr:nvGraphicFramePr>
        <xdr:cNvPr id="11" name="Chart 14">
          <a:extLst>
            <a:ext uri="{FF2B5EF4-FFF2-40B4-BE49-F238E27FC236}">
              <a16:creationId xmlns:a16="http://schemas.microsoft.com/office/drawing/2014/main" id="{4B4F4A6E-B995-4A2B-A37B-390B3733D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QF/espen%20haug%20models/KnowYourWeapon/KnowYourWeapon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%20Folder/ExcelPC/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"/>
      <sheetName val="KY"/>
      <sheetName val="KYW"/>
      <sheetName val="Graphic"/>
    </sheetNames>
    <sheetDataSet>
      <sheetData sheetId="0"/>
      <sheetData sheetId="1"/>
      <sheetData sheetId="2"/>
      <sheetData sheetId="3">
        <row r="39">
          <cell r="U39">
            <v>1</v>
          </cell>
          <cell r="V39">
            <v>9.9499999999999993</v>
          </cell>
          <cell r="W39">
            <v>18.899999999999999</v>
          </cell>
          <cell r="X39">
            <v>27.849999999999998</v>
          </cell>
          <cell r="Y39">
            <v>36.799999999999997</v>
          </cell>
          <cell r="Z39">
            <v>45.75</v>
          </cell>
          <cell r="AA39">
            <v>54.7</v>
          </cell>
          <cell r="AB39">
            <v>63.650000000000006</v>
          </cell>
          <cell r="AC39">
            <v>72.600000000000009</v>
          </cell>
          <cell r="AD39">
            <v>81.550000000000011</v>
          </cell>
          <cell r="AE39">
            <v>90.500000000000014</v>
          </cell>
          <cell r="AF39">
            <v>99.450000000000017</v>
          </cell>
          <cell r="AG39">
            <v>108.40000000000002</v>
          </cell>
          <cell r="AH39">
            <v>117.35000000000002</v>
          </cell>
          <cell r="AI39">
            <v>126.30000000000003</v>
          </cell>
          <cell r="AJ39">
            <v>135.25000000000003</v>
          </cell>
          <cell r="AK39">
            <v>144.20000000000002</v>
          </cell>
          <cell r="AL39">
            <v>153.15</v>
          </cell>
          <cell r="AM39">
            <v>162.1</v>
          </cell>
          <cell r="AN39">
            <v>171.04999999999998</v>
          </cell>
          <cell r="AO39">
            <v>179.99999999999997</v>
          </cell>
        </row>
        <row r="40">
          <cell r="T40">
            <v>3.2499999999999969</v>
          </cell>
          <cell r="U40">
            <v>-4.0105875411361061E-112</v>
          </cell>
          <cell r="V40">
            <v>-2.8940803204528928E-12</v>
          </cell>
          <cell r="W40">
            <v>-4.1960203315680267E-7</v>
          </cell>
          <cell r="X40">
            <v>-2.6670737165306587E-5</v>
          </cell>
          <cell r="Y40">
            <v>-2.1376630675258167E-4</v>
          </cell>
          <cell r="Z40">
            <v>-7.3404664084177854E-4</v>
          </cell>
          <cell r="AA40">
            <v>-1.6434446039317991E-3</v>
          </cell>
          <cell r="AB40">
            <v>-2.879585833518588E-3</v>
          </cell>
          <cell r="AC40">
            <v>-4.3290519876190182E-3</v>
          </cell>
          <cell r="AD40">
            <v>-5.8777651730307738E-3</v>
          </cell>
          <cell r="AE40">
            <v>-7.432980867004715E-3</v>
          </cell>
          <cell r="AF40">
            <v>-8.9279202632959968E-3</v>
          </cell>
          <cell r="AG40">
            <v>-1.0318891122454306E-2</v>
          </cell>
          <cell r="AH40">
            <v>-1.158023290216724E-2</v>
          </cell>
          <cell r="AI40">
            <v>-1.2699380063813222E-2</v>
          </cell>
          <cell r="AJ40">
            <v>-1.3672804744134213E-2</v>
          </cell>
          <cell r="AK40">
            <v>-1.4502942605624999E-2</v>
          </cell>
          <cell r="AL40">
            <v>-1.5195970206960169E-2</v>
          </cell>
          <cell r="AM40">
            <v>-1.5760247829536958E-2</v>
          </cell>
          <cell r="AN40">
            <v>-1.6205255447401423E-2</v>
          </cell>
          <cell r="AO40">
            <v>-1.6540882856393477E-2</v>
          </cell>
          <cell r="AQ40">
            <v>3.2499999999999929</v>
          </cell>
          <cell r="AR40">
            <v>-1.5378415026948345E-4</v>
          </cell>
        </row>
        <row r="41">
          <cell r="T41">
            <v>3.3374999999999968</v>
          </cell>
          <cell r="U41">
            <v>-1.6207552046102726E-85</v>
          </cell>
          <cell r="V41">
            <v>-1.0632324000293602E-9</v>
          </cell>
          <cell r="W41">
            <v>-8.221419210517946E-6</v>
          </cell>
          <cell r="X41">
            <v>-1.830785879119853E-4</v>
          </cell>
          <cell r="Y41">
            <v>-8.5515267507982676E-4</v>
          </cell>
          <cell r="Z41">
            <v>-2.1115809665811758E-3</v>
          </cell>
          <cell r="AA41">
            <v>-3.7832972689445087E-3</v>
          </cell>
          <cell r="AB41">
            <v>-5.6430427025313812E-3</v>
          </cell>
          <cell r="AC41">
            <v>-7.5082146052639432E-3</v>
          </cell>
          <cell r="AD41">
            <v>-9.2603931557982185E-3</v>
          </cell>
          <cell r="AE41">
            <v>-1.0834088584402889E-2</v>
          </cell>
          <cell r="AF41">
            <v>-1.220028700928423E-2</v>
          </cell>
          <cell r="AG41">
            <v>-1.3352819274035524E-2</v>
          </cell>
          <cell r="AH41">
            <v>-1.4298793366934171E-2</v>
          </cell>
          <cell r="AI41">
            <v>-1.5052380149556148E-2</v>
          </cell>
          <cell r="AJ41">
            <v>-1.5630964600816685E-2</v>
          </cell>
          <cell r="AK41">
            <v>-1.6052853913276169E-2</v>
          </cell>
          <cell r="AL41">
            <v>-1.6335972290442546E-2</v>
          </cell>
          <cell r="AM41">
            <v>-1.6497165594175321E-2</v>
          </cell>
          <cell r="AN41">
            <v>-1.6551874842804078E-2</v>
          </cell>
          <cell r="AO41">
            <v>-1.6514027369381044E-2</v>
          </cell>
          <cell r="AQ41">
            <v>3.2937499999999931</v>
          </cell>
          <cell r="AR41">
            <v>-3.3349089788331439E-4</v>
          </cell>
        </row>
        <row r="42">
          <cell r="T42">
            <v>3.4249999999999967</v>
          </cell>
          <cell r="U42">
            <v>-4.0347560117962192E-63</v>
          </cell>
          <cell r="V42">
            <v>-1.4550984401165192E-7</v>
          </cell>
          <cell r="W42">
            <v>-9.5055472886124455E-5</v>
          </cell>
          <cell r="X42">
            <v>-8.7358986855246392E-4</v>
          </cell>
          <cell r="Y42">
            <v>-2.5856394181477953E-3</v>
          </cell>
          <cell r="Z42">
            <v>-4.8292141335700631E-3</v>
          </cell>
          <cell r="AA42">
            <v>-7.1613871915635497E-3</v>
          </cell>
          <cell r="AB42">
            <v>-9.3127897247071122E-3</v>
          </cell>
          <cell r="AC42">
            <v>-1.1162011105076787E-2</v>
          </cell>
          <cell r="AD42">
            <v>-1.2675614511520439E-2</v>
          </cell>
          <cell r="AE42">
            <v>-1.3864811035641609E-2</v>
          </cell>
          <cell r="AF42">
            <v>-1.4760375754845312E-2</v>
          </cell>
          <cell r="AG42">
            <v>-1.539945787921765E-2</v>
          </cell>
          <cell r="AH42">
            <v>-1.5819126463379581E-2</v>
          </cell>
          <cell r="AI42">
            <v>-1.6053502100298031E-2</v>
          </cell>
          <cell r="AJ42">
            <v>-1.6132721858019072E-2</v>
          </cell>
          <cell r="AK42">
            <v>-1.6082800712124871E-2</v>
          </cell>
          <cell r="AL42">
            <v>-1.5925900620911693E-2</v>
          </cell>
          <cell r="AM42">
            <v>-1.5680757816898191E-2</v>
          </cell>
          <cell r="AN42">
            <v>-1.5363145136538645E-2</v>
          </cell>
          <cell r="AO42">
            <v>-1.4986312043478922E-2</v>
          </cell>
          <cell r="AQ42">
            <v>3.3374999999999932</v>
          </cell>
          <cell r="AR42">
            <v>-6.7079775872636157E-4</v>
          </cell>
        </row>
        <row r="43">
          <cell r="T43">
            <v>3.5124999999999966</v>
          </cell>
          <cell r="U43">
            <v>-1.2261050059841199E-44</v>
          </cell>
          <cell r="V43">
            <v>-7.8998120482734627E-6</v>
          </cell>
          <cell r="W43">
            <v>-6.6803431417302491E-4</v>
          </cell>
          <cell r="X43">
            <v>-2.9486410195808054E-3</v>
          </cell>
          <cell r="Y43">
            <v>-5.9738730539703475E-3</v>
          </cell>
          <cell r="Z43">
            <v>-8.8398444014028948E-3</v>
          </cell>
          <cell r="AA43">
            <v>-1.1187161367149971E-2</v>
          </cell>
          <cell r="AB43">
            <v>-1.2958675260469739E-2</v>
          </cell>
          <cell r="AC43">
            <v>-1.4211819392308544E-2</v>
          </cell>
          <cell r="AD43">
            <v>-1.5034009800731638E-2</v>
          </cell>
          <cell r="AE43">
            <v>-1.5510643046263158E-2</v>
          </cell>
          <cell r="AF43">
            <v>-1.5715125548102119E-2</v>
          </cell>
          <cell r="AG43">
            <v>-1.5707341392361556E-2</v>
          </cell>
          <cell r="AH43">
            <v>-1.553500736901805E-2</v>
          </cell>
          <cell r="AI43">
            <v>-1.5235753863059087E-2</v>
          </cell>
          <cell r="AJ43">
            <v>-1.483914633688568E-2</v>
          </cell>
          <cell r="AK43">
            <v>-1.436840691781328E-2</v>
          </cell>
          <cell r="AL43">
            <v>-1.3841802104452773E-2</v>
          </cell>
          <cell r="AM43">
            <v>-1.327373308146528E-2</v>
          </cell>
          <cell r="AN43">
            <v>-1.2675582378874785E-2</v>
          </cell>
          <cell r="AO43">
            <v>-1.2056368399211244E-2</v>
          </cell>
          <cell r="AQ43">
            <v>3.3812499999999934</v>
          </cell>
          <cell r="AR43">
            <v>-1.2539616662718398E-3</v>
          </cell>
        </row>
        <row r="44">
          <cell r="T44">
            <v>3.5999999999999965</v>
          </cell>
          <cell r="U44">
            <v>-8.4521664182916231E-30</v>
          </cell>
          <cell r="V44">
            <v>-1.7938709114635802E-4</v>
          </cell>
          <cell r="W44">
            <v>-2.9177321957001507E-3</v>
          </cell>
          <cell r="X44">
            <v>-7.1150855133470846E-3</v>
          </cell>
          <cell r="Y44">
            <v>-1.0589883793257523E-2</v>
          </cell>
          <cell r="Z44">
            <v>-1.2946876035437857E-2</v>
          </cell>
          <cell r="AA44">
            <v>-1.4367495523288847E-2</v>
          </cell>
          <cell r="AB44">
            <v>-1.5100775493222439E-2</v>
          </cell>
          <cell r="AC44">
            <v>-1.5349816342207154E-2</v>
          </cell>
          <cell r="AD44">
            <v>-1.5262463958171719E-2</v>
          </cell>
          <cell r="AE44">
            <v>-1.4942873416971737E-2</v>
          </cell>
          <cell r="AF44">
            <v>-1.4463941515891934E-2</v>
          </cell>
          <cell r="AG44">
            <v>-1.387685013940311E-2</v>
          </cell>
          <cell r="AH44">
            <v>-1.3217773060846595E-2</v>
          </cell>
          <cell r="AI44">
            <v>-1.2512463730910884E-2</v>
          </cell>
          <cell r="AJ44">
            <v>-1.177937878548754E-2</v>
          </cell>
          <cell r="AK44">
            <v>-1.1031814530526658E-2</v>
          </cell>
          <cell r="AL44">
            <v>-1.0279381108138398E-2</v>
          </cell>
          <cell r="AM44">
            <v>-9.5290302713987255E-3</v>
          </cell>
          <cell r="AN44">
            <v>-8.7857797365254557E-3</v>
          </cell>
          <cell r="AO44">
            <v>-8.0532291607885408E-3</v>
          </cell>
          <cell r="AQ44">
            <v>3.4249999999999936</v>
          </cell>
          <cell r="AR44">
            <v>-2.1821804133050344E-3</v>
          </cell>
        </row>
        <row r="45">
          <cell r="T45">
            <v>3.6874999999999964</v>
          </cell>
          <cell r="U45">
            <v>-2.310243665032362E-18</v>
          </cell>
          <cell r="V45">
            <v>-1.7726182512089728E-3</v>
          </cell>
          <cell r="W45">
            <v>-8.0031502662855827E-3</v>
          </cell>
          <cell r="X45">
            <v>-1.2257637122173752E-2</v>
          </cell>
          <cell r="Y45">
            <v>-1.4279843929924032E-2</v>
          </cell>
          <cell r="Z45">
            <v>-1.4956281758222313E-2</v>
          </cell>
          <cell r="AA45">
            <v>-1.4878810354957916E-2</v>
          </cell>
          <cell r="AB45">
            <v>-1.4382481617734685E-2</v>
          </cell>
          <cell r="AC45">
            <v>-1.3655470352617801E-2</v>
          </cell>
          <cell r="AD45">
            <v>-1.2805571434533973E-2</v>
          </cell>
          <cell r="AE45">
            <v>-1.1895917449331632E-2</v>
          </cell>
          <cell r="AF45">
            <v>-1.0964133163958296E-2</v>
          </cell>
          <cell r="AG45">
            <v>-1.0032862122975082E-2</v>
          </cell>
          <cell r="AH45">
            <v>-9.115727232238878E-3</v>
          </cell>
          <cell r="AI45">
            <v>-8.2208058658551474E-3</v>
          </cell>
          <cell r="AJ45">
            <v>-7.3527104263034215E-3</v>
          </cell>
          <cell r="AK45">
            <v>-6.513863440982386E-3</v>
          </cell>
          <cell r="AL45">
            <v>-5.7052949088110131E-3</v>
          </cell>
          <cell r="AM45">
            <v>-4.9271494274618242E-3</v>
          </cell>
          <cell r="AN45">
            <v>-4.1790132407464294E-3</v>
          </cell>
          <cell r="AO45">
            <v>-3.460127439925801E-3</v>
          </cell>
          <cell r="AQ45">
            <v>3.4687499999999938</v>
          </cell>
          <cell r="AR45">
            <v>-3.5399520489595221E-3</v>
          </cell>
        </row>
        <row r="46">
          <cell r="T46">
            <v>3.7749999999999964</v>
          </cell>
          <cell r="U46">
            <v>-4.1007001951898103E-10</v>
          </cell>
          <cell r="V46">
            <v>-7.7424313767162937E-3</v>
          </cell>
          <cell r="W46">
            <v>-1.3591326033058435E-2</v>
          </cell>
          <cell r="X46">
            <v>-1.4647492860486533E-2</v>
          </cell>
          <cell r="Y46">
            <v>-1.4069600203941733E-2</v>
          </cell>
          <cell r="Z46">
            <v>-1.2948215931974941E-2</v>
          </cell>
          <cell r="AA46">
            <v>-1.1667591034731599E-2</v>
          </cell>
          <cell r="AB46">
            <v>-1.0373877415286279E-2</v>
          </cell>
          <cell r="AC46">
            <v>-9.1242355067325497E-3</v>
          </cell>
          <cell r="AD46">
            <v>-7.9397349088446215E-3</v>
          </cell>
          <cell r="AE46">
            <v>-6.8260540901619203E-3</v>
          </cell>
          <cell r="AF46">
            <v>-5.7822091725078066E-3</v>
          </cell>
          <cell r="AG46">
            <v>-4.8044347108664644E-3</v>
          </cell>
          <cell r="AH46">
            <v>-3.8879651770854628E-3</v>
          </cell>
          <cell r="AI46">
            <v>-3.0278599761395051E-3</v>
          </cell>
          <cell r="AJ46">
            <v>-2.2193765057007299E-3</v>
          </cell>
          <cell r="AK46">
            <v>-1.458124848937002E-3</v>
          </cell>
          <cell r="AL46">
            <v>-7.4011632046937638E-4</v>
          </cell>
          <cell r="AM46">
            <v>-6.176124823127132E-5</v>
          </cell>
          <cell r="AN46">
            <v>5.8015621669305734E-4</v>
          </cell>
          <cell r="AO46">
            <v>1.1885122484928967E-3</v>
          </cell>
          <cell r="AQ46">
            <v>3.512499999999994</v>
          </cell>
          <cell r="AR46">
            <v>-5.3581680992097914E-3</v>
          </cell>
        </row>
        <row r="47">
          <cell r="T47">
            <v>3.8624999999999963</v>
          </cell>
          <cell r="U47">
            <v>-7.0449730833432295E-5</v>
          </cell>
          <cell r="V47">
            <v>-1.4210049403835518E-2</v>
          </cell>
          <cell r="W47">
            <v>-1.3023618866716572E-2</v>
          </cell>
          <cell r="X47">
            <v>-1.0705507531958253E-2</v>
          </cell>
          <cell r="Y47">
            <v>-8.6084767883551367E-3</v>
          </cell>
          <cell r="Z47">
            <v>-6.8141887143327385E-3</v>
          </cell>
          <cell r="AA47">
            <v>-5.2741947456757783E-3</v>
          </cell>
          <cell r="AB47">
            <v>-3.9358507003077019E-3</v>
          </cell>
          <cell r="AC47">
            <v>-2.7575837271487341E-3</v>
          </cell>
          <cell r="AD47">
            <v>-1.7081972493623477E-3</v>
          </cell>
          <cell r="AE47">
            <v>-7.6430195856767662E-4</v>
          </cell>
          <cell r="AF47">
            <v>9.1861621703147493E-5</v>
          </cell>
          <cell r="AG47">
            <v>8.7399868695117093E-4</v>
          </cell>
          <cell r="AH47">
            <v>1.5928612892414907E-3</v>
          </cell>
          <cell r="AI47">
            <v>2.2570171031487747E-3</v>
          </cell>
          <cell r="AJ47">
            <v>2.8733917957810039E-3</v>
          </cell>
          <cell r="AK47">
            <v>3.4476572606569646E-3</v>
          </cell>
          <cell r="AL47">
            <v>3.9845138793152077E-3</v>
          </cell>
          <cell r="AM47">
            <v>4.4878989197487933E-3</v>
          </cell>
          <cell r="AN47">
            <v>4.9611426772333319E-3</v>
          </cell>
          <cell r="AO47">
            <v>5.4070870854442208E-3</v>
          </cell>
          <cell r="AQ47">
            <v>3.5562499999999941</v>
          </cell>
          <cell r="AR47">
            <v>-7.5706513263617704E-3</v>
          </cell>
        </row>
        <row r="48">
          <cell r="T48">
            <v>3.9499999999999962</v>
          </cell>
          <cell r="U48">
            <v>-1.2645827333946091E-2</v>
          </cell>
          <cell r="V48">
            <v>-6.8796220311220383E-3</v>
          </cell>
          <cell r="W48">
            <v>-3.3620341627425411E-3</v>
          </cell>
          <cell r="X48">
            <v>-1.2792985944189985E-3</v>
          </cell>
          <cell r="Y48">
            <v>2.0623602957549084E-4</v>
          </cell>
          <cell r="Z48">
            <v>1.3670666962849194E-3</v>
          </cell>
          <cell r="AA48">
            <v>2.3236460612724467E-3</v>
          </cell>
          <cell r="AB48">
            <v>3.1393873904751418E-3</v>
          </cell>
          <cell r="AC48">
            <v>3.8516930502732029E-3</v>
          </cell>
          <cell r="AD48">
            <v>4.4844639530748128E-3</v>
          </cell>
          <cell r="AE48">
            <v>5.053911782455082E-3</v>
          </cell>
          <cell r="AF48">
            <v>5.5715520484313817E-3</v>
          </cell>
          <cell r="AG48">
            <v>6.0458709126636158E-3</v>
          </cell>
          <cell r="AH48">
            <v>6.4833125596274197E-3</v>
          </cell>
          <cell r="AI48">
            <v>6.8888940777895157E-3</v>
          </cell>
          <cell r="AJ48">
            <v>7.2666045489481242E-3</v>
          </cell>
          <cell r="AK48">
            <v>7.6196732544799965E-3</v>
          </cell>
          <cell r="AL48">
            <v>7.9507553580782323E-3</v>
          </cell>
          <cell r="AM48">
            <v>8.2620637978153069E-3</v>
          </cell>
          <cell r="AN48">
            <v>8.5554650913685845E-3</v>
          </cell>
          <cell r="AO48">
            <v>8.832550313132681E-3</v>
          </cell>
          <cell r="AQ48">
            <v>3.5999999999999943</v>
          </cell>
          <cell r="AR48">
            <v>-9.9821501063629553E-3</v>
          </cell>
        </row>
        <row r="49">
          <cell r="T49">
            <v>4.0374999999999961</v>
          </cell>
          <cell r="U49">
            <v>1.3653991961173338E-2</v>
          </cell>
          <cell r="V49">
            <v>9.1073401767258807E-3</v>
          </cell>
          <cell r="W49">
            <v>8.3900688330183874E-3</v>
          </cell>
          <cell r="X49">
            <v>8.2982050666346539E-3</v>
          </cell>
          <cell r="Y49">
            <v>8.3938926142396106E-3</v>
          </cell>
          <cell r="Z49">
            <v>8.5620057935596357E-3</v>
          </cell>
          <cell r="AA49">
            <v>8.7600880927592543E-3</v>
          </cell>
          <cell r="AB49">
            <v>8.969485051322279E-3</v>
          </cell>
          <cell r="AC49">
            <v>9.1811169316137701E-3</v>
          </cell>
          <cell r="AD49">
            <v>9.3902938110120467E-3</v>
          </cell>
          <cell r="AE49">
            <v>9.5945271704963482E-3</v>
          </cell>
          <cell r="AF49">
            <v>9.7925050340693133E-3</v>
          </cell>
          <cell r="AG49">
            <v>9.9835734767104462E-3</v>
          </cell>
          <cell r="AH49">
            <v>1.0167458329553236E-2</v>
          </cell>
          <cell r="AI49">
            <v>1.0344108761987133E-2</v>
          </cell>
          <cell r="AJ49">
            <v>1.0513606130303547E-2</v>
          </cell>
          <cell r="AK49">
            <v>1.0676109345111186E-2</v>
          </cell>
          <cell r="AL49">
            <v>1.0831821423242117E-2</v>
          </cell>
          <cell r="AM49">
            <v>1.098096870113547E-2</v>
          </cell>
          <cell r="AN49">
            <v>1.1123787804702292E-2</v>
          </cell>
          <cell r="AO49">
            <v>1.1260517467869213E-2</v>
          </cell>
          <cell r="AQ49">
            <v>3.6437499999999945</v>
          </cell>
          <cell r="AR49">
            <v>-1.2266305677210558E-2</v>
          </cell>
        </row>
        <row r="50">
          <cell r="T50">
            <v>4.1249999999999964</v>
          </cell>
          <cell r="U50">
            <v>2.33468679043932E-4</v>
          </cell>
          <cell r="V50">
            <v>1.2969487565470318E-2</v>
          </cell>
          <cell r="W50">
            <v>1.3359214562650516E-2</v>
          </cell>
          <cell r="X50">
            <v>1.3052045475097876E-2</v>
          </cell>
          <cell r="Y50">
            <v>1.2773642342026706E-2</v>
          </cell>
          <cell r="Z50">
            <v>1.2575554744226548E-2</v>
          </cell>
          <cell r="AA50">
            <v>1.2443988553603277E-2</v>
          </cell>
          <cell r="AB50">
            <v>1.236158389994383E-2</v>
          </cell>
          <cell r="AC50">
            <v>1.2314825258667174E-2</v>
          </cell>
          <cell r="AD50">
            <v>1.2293946775378104E-2</v>
          </cell>
          <cell r="AE50">
            <v>1.2291956321883133E-2</v>
          </cell>
          <cell r="AF50">
            <v>1.2303806297321923E-2</v>
          </cell>
          <cell r="AG50">
            <v>1.2325805064863669E-2</v>
          </cell>
          <cell r="AH50">
            <v>1.2355215472304996E-2</v>
          </cell>
          <cell r="AI50">
            <v>1.2389981770727249E-2</v>
          </cell>
          <cell r="AJ50">
            <v>1.2428542071042915E-2</v>
          </cell>
          <cell r="AK50">
            <v>1.2469697730554121E-2</v>
          </cell>
          <cell r="AL50">
            <v>1.2512520996162835E-2</v>
          </cell>
          <cell r="AM50">
            <v>1.2556288708621924E-2</v>
          </cell>
          <cell r="AN50">
            <v>1.2600434026173448E-2</v>
          </cell>
          <cell r="AO50">
            <v>1.264451079451677E-2</v>
          </cell>
          <cell r="AQ50">
            <v>3.6874999999999947</v>
          </cell>
          <cell r="AR50">
            <v>-1.4006298491089052E-2</v>
          </cell>
        </row>
        <row r="51">
          <cell r="T51">
            <v>4.2124999999999968</v>
          </cell>
          <cell r="U51">
            <v>1.1503367450892272E-8</v>
          </cell>
          <cell r="V51">
            <v>6.6361888313953019E-3</v>
          </cell>
          <cell r="W51">
            <v>1.0812955533373027E-2</v>
          </cell>
          <cell r="X51">
            <v>1.2238073679837839E-2</v>
          </cell>
          <cell r="Y51">
            <v>1.2783369181505418E-2</v>
          </cell>
          <cell r="Z51">
            <v>1.3004066605489089E-2</v>
          </cell>
          <cell r="AA51">
            <v>1.3091023465982675E-2</v>
          </cell>
          <cell r="AB51">
            <v>1.3119557394025427E-2</v>
          </cell>
          <cell r="AC51">
            <v>1.3122353022923233E-2</v>
          </cell>
          <cell r="AD51">
            <v>1.31144799225238E-2</v>
          </cell>
          <cell r="AE51">
            <v>1.3103105734217848E-2</v>
          </cell>
          <cell r="AF51">
            <v>1.3091638319700878E-2</v>
          </cell>
          <cell r="AG51">
            <v>1.3081623570025432E-2</v>
          </cell>
          <cell r="AH51">
            <v>1.3073664050348356E-2</v>
          </cell>
          <cell r="AI51">
            <v>1.3067882525801941E-2</v>
          </cell>
          <cell r="AJ51">
            <v>1.3064162954885397E-2</v>
          </cell>
          <cell r="AK51">
            <v>1.3062278182572495E-2</v>
          </cell>
          <cell r="AL51">
            <v>1.3061958081524976E-2</v>
          </cell>
          <cell r="AM51">
            <v>1.3062925628295568E-2</v>
          </cell>
          <cell r="AN51">
            <v>1.30649154249308E-2</v>
          </cell>
          <cell r="AO51">
            <v>1.3067682526305319E-2</v>
          </cell>
          <cell r="AQ51">
            <v>3.7312499999999948</v>
          </cell>
          <cell r="AR51">
            <v>-1.4776901023746996E-2</v>
          </cell>
        </row>
        <row r="52">
          <cell r="T52">
            <v>4.2999999999999972</v>
          </cell>
          <cell r="U52">
            <v>3.6012715102027065E-15</v>
          </cell>
          <cell r="V52">
            <v>1.7739655404033126E-3</v>
          </cell>
          <cell r="W52">
            <v>5.87123949995656E-3</v>
          </cell>
          <cell r="X52">
            <v>8.4896505812802371E-3</v>
          </cell>
          <cell r="Y52">
            <v>1.0002686560915042E-2</v>
          </cell>
          <cell r="Z52">
            <v>1.0907643606302425E-2</v>
          </cell>
          <cell r="AA52">
            <v>1.1473900174468754E-2</v>
          </cell>
          <cell r="AB52">
            <v>1.1842612531357488E-2</v>
          </cell>
          <cell r="AC52">
            <v>1.2090759957057303E-2</v>
          </cell>
          <cell r="AD52">
            <v>1.2262360942587702E-2</v>
          </cell>
          <cell r="AE52">
            <v>1.2383701034982663E-2</v>
          </cell>
          <cell r="AF52">
            <v>1.2471075637126927E-2</v>
          </cell>
          <cell r="AG52">
            <v>1.2534914660603897E-2</v>
          </cell>
          <cell r="AH52">
            <v>1.2582077867364158E-2</v>
          </cell>
          <cell r="AI52">
            <v>1.2617183073880727E-2</v>
          </cell>
          <cell r="AJ52">
            <v>1.2643401619358422E-2</v>
          </cell>
          <cell r="AK52">
            <v>1.2662949391924267E-2</v>
          </cell>
          <cell r="AL52">
            <v>1.2677398093981294E-2</v>
          </cell>
          <cell r="AM52">
            <v>1.268787723844227E-2</v>
          </cell>
          <cell r="AN52">
            <v>1.2695207985782607E-2</v>
          </cell>
          <cell r="AO52">
            <v>1.2699993472819309E-2</v>
          </cell>
          <cell r="AQ52">
            <v>3.774999999999995</v>
          </cell>
          <cell r="AR52">
            <v>-1.4249382661111183E-2</v>
          </cell>
        </row>
        <row r="53">
          <cell r="T53">
            <v>4.3874999999999975</v>
          </cell>
          <cell r="U53">
            <v>1.0612253377795012E-23</v>
          </cell>
          <cell r="V53">
            <v>2.7669722745388018E-4</v>
          </cell>
          <cell r="W53">
            <v>2.3279786814080121E-3</v>
          </cell>
          <cell r="X53">
            <v>4.675109566285445E-3</v>
          </cell>
          <cell r="Y53">
            <v>6.4990216077541255E-3</v>
          </cell>
          <cell r="Z53">
            <v>7.8189102212654314E-3</v>
          </cell>
          <cell r="AA53">
            <v>8.7710914774814276E-3</v>
          </cell>
          <cell r="AB53">
            <v>9.4677716235127343E-3</v>
          </cell>
          <cell r="AC53">
            <v>9.9867063906192641E-3</v>
          </cell>
          <cell r="AD53">
            <v>1.0380092417182199E-2</v>
          </cell>
          <cell r="AE53">
            <v>1.0683108505342955E-2</v>
          </cell>
          <cell r="AF53">
            <v>1.0919823239686613E-2</v>
          </cell>
          <cell r="AG53">
            <v>1.1107005640613343E-2</v>
          </cell>
          <cell r="AH53">
            <v>1.1256555820454673E-2</v>
          </cell>
          <cell r="AI53">
            <v>1.1377068008190654E-2</v>
          </cell>
          <cell r="AJ53">
            <v>1.1474850922278828E-2</v>
          </cell>
          <cell r="AK53">
            <v>1.1554605552993138E-2</v>
          </cell>
          <cell r="AL53">
            <v>1.1619883395803589E-2</v>
          </cell>
          <cell r="AM53">
            <v>1.1673401589661856E-2</v>
          </cell>
          <cell r="AN53">
            <v>1.1717263174330203E-2</v>
          </cell>
          <cell r="AO53">
            <v>1.175311337542399E-2</v>
          </cell>
          <cell r="AQ53">
            <v>3.8187499999999952</v>
          </cell>
          <cell r="AR53">
            <v>-1.2287950751333508E-2</v>
          </cell>
        </row>
        <row r="54">
          <cell r="T54">
            <v>4.4749999999999979</v>
          </cell>
          <cell r="U54">
            <v>4.023161929576012E-34</v>
          </cell>
          <cell r="V54">
            <v>2.6735099417115938E-5</v>
          </cell>
          <cell r="W54">
            <v>7.0387661210260513E-4</v>
          </cell>
          <cell r="X54">
            <v>2.1179755208197409E-3</v>
          </cell>
          <cell r="Y54">
            <v>3.6157730413252224E-3</v>
          </cell>
          <cell r="Z54">
            <v>4.9215117750386183E-3</v>
          </cell>
          <cell r="AA54">
            <v>5.9912045664998106E-3</v>
          </cell>
          <cell r="AB54">
            <v>6.8516220432874621E-3</v>
          </cell>
          <cell r="AC54">
            <v>7.5424677418338771E-3</v>
          </cell>
          <cell r="AD54">
            <v>8.0998053240504391E-3</v>
          </cell>
          <cell r="AE54">
            <v>8.5526984110135436E-3</v>
          </cell>
          <cell r="AF54">
            <v>8.9236441044947441E-3</v>
          </cell>
          <cell r="AG54">
            <v>9.2298427395521559E-3</v>
          </cell>
          <cell r="AH54">
            <v>9.4844378659768285E-3</v>
          </cell>
          <cell r="AI54">
            <v>9.6975219683715121E-3</v>
          </cell>
          <cell r="AJ54">
            <v>9.8769018571834497E-3</v>
          </cell>
          <cell r="AK54">
            <v>1.0028667298086992E-2</v>
          </cell>
          <cell r="AL54">
            <v>1.0157610359262007E-2</v>
          </cell>
          <cell r="AM54">
            <v>1.0267534855670639E-2</v>
          </cell>
          <cell r="AN54">
            <v>1.0361485756057392E-2</v>
          </cell>
          <cell r="AO54">
            <v>1.0441920397158109E-2</v>
          </cell>
          <cell r="AQ54">
            <v>3.8624999999999954</v>
          </cell>
          <cell r="AR54">
            <v>-9.0049837836937603E-3</v>
          </cell>
        </row>
        <row r="55">
          <cell r="T55">
            <v>4.5624999999999982</v>
          </cell>
          <cell r="U55">
            <v>2.5813151648170144E-46</v>
          </cell>
          <cell r="V55">
            <v>1.6685426158743291E-6</v>
          </cell>
          <cell r="W55">
            <v>1.6693678905065391E-4</v>
          </cell>
          <cell r="X55">
            <v>8.0747929244467953E-4</v>
          </cell>
          <cell r="Y55">
            <v>1.7562790358078069E-3</v>
          </cell>
          <cell r="Z55">
            <v>2.7669302630720415E-3</v>
          </cell>
          <cell r="AA55">
            <v>3.7130647179243947E-3</v>
          </cell>
          <cell r="AB55">
            <v>4.5509614340234162E-3</v>
          </cell>
          <cell r="AC55">
            <v>5.2750664886737795E-3</v>
          </cell>
          <cell r="AD55">
            <v>5.8945821954453506E-3</v>
          </cell>
          <cell r="AE55">
            <v>6.4230677114870795E-3</v>
          </cell>
          <cell r="AF55">
            <v>6.8742072479692998E-3</v>
          </cell>
          <cell r="AG55">
            <v>7.2602838548173594E-3</v>
          </cell>
          <cell r="AH55">
            <v>7.5917892120936159E-3</v>
          </cell>
          <cell r="AI55">
            <v>7.8774820545156193E-3</v>
          </cell>
          <cell r="AJ55">
            <v>8.124600214067846E-3</v>
          </cell>
          <cell r="AK55">
            <v>8.3391036001147605E-3</v>
          </cell>
          <cell r="AL55">
            <v>8.5259006357936776E-3</v>
          </cell>
          <cell r="AM55">
            <v>8.6890429968764556E-3</v>
          </cell>
          <cell r="AN55">
            <v>8.8318868728727816E-3</v>
          </cell>
          <cell r="AO55">
            <v>8.9572240051127693E-3</v>
          </cell>
          <cell r="AQ55">
            <v>3.9062499999999956</v>
          </cell>
          <cell r="AR55">
            <v>-4.7541187055795278E-3</v>
          </cell>
        </row>
        <row r="56">
          <cell r="T56">
            <v>4.6499999999999986</v>
          </cell>
          <cell r="U56">
            <v>3.5939503210230849E-60</v>
          </cell>
          <cell r="V56">
            <v>6.9528445766782609E-8</v>
          </cell>
          <cell r="W56">
            <v>3.171929183677126E-5</v>
          </cell>
          <cell r="X56">
            <v>2.6338137737265318E-4</v>
          </cell>
          <cell r="Y56">
            <v>7.5518187514529115E-4</v>
          </cell>
          <cell r="Z56">
            <v>1.4064076546775814E-3</v>
          </cell>
          <cell r="AA56">
            <v>2.1106332761625943E-3</v>
          </cell>
          <cell r="AB56">
            <v>2.8018169663028168E-3</v>
          </cell>
          <cell r="AC56">
            <v>3.4472074032104979E-3</v>
          </cell>
          <cell r="AD56">
            <v>4.0339861404341216E-3</v>
          </cell>
          <cell r="AE56">
            <v>4.5598692588861697E-3</v>
          </cell>
          <cell r="AF56">
            <v>5.0276561189574777E-3</v>
          </cell>
          <cell r="AG56">
            <v>5.4422986562852336E-3</v>
          </cell>
          <cell r="AH56">
            <v>5.8093972819040938E-3</v>
          </cell>
          <cell r="AI56">
            <v>6.134466703650426E-3</v>
          </cell>
          <cell r="AJ56">
            <v>6.4226068522742043E-3</v>
          </cell>
          <cell r="AK56">
            <v>6.6783821996961997E-3</v>
          </cell>
          <cell r="AL56">
            <v>6.9058048148164953E-3</v>
          </cell>
          <cell r="AM56">
            <v>7.1083660080666564E-3</v>
          </cell>
          <cell r="AN56">
            <v>7.2890878802025303E-3</v>
          </cell>
          <cell r="AO56">
            <v>7.4505802050584711E-3</v>
          </cell>
          <cell r="AQ56">
            <v>3.9499999999999957</v>
          </cell>
          <cell r="AR56">
            <v>-6.0900813272892555E-5</v>
          </cell>
        </row>
        <row r="57">
          <cell r="T57">
            <v>4.7374999999999989</v>
          </cell>
          <cell r="U57">
            <v>1.3642827471328712E-75</v>
          </cell>
          <cell r="V57">
            <v>1.9894585887535923E-9</v>
          </cell>
          <cell r="W57">
            <v>4.9118487267705824E-6</v>
          </cell>
          <cell r="X57">
            <v>7.4462390066193815E-5</v>
          </cell>
          <cell r="Y57">
            <v>2.9057638555749312E-4</v>
          </cell>
          <cell r="Z57">
            <v>6.5236738954477767E-4</v>
          </cell>
          <cell r="AA57">
            <v>1.1095736156227463E-3</v>
          </cell>
          <cell r="AB57">
            <v>1.6108535744626682E-3</v>
          </cell>
          <cell r="AC57">
            <v>2.1193608999239351E-3</v>
          </cell>
          <cell r="AD57">
            <v>2.6125199402102688E-3</v>
          </cell>
          <cell r="AE57">
            <v>3.0780562763143876E-3</v>
          </cell>
          <cell r="AF57">
            <v>3.5102998950214755E-3</v>
          </cell>
          <cell r="AG57">
            <v>3.9075459319039899E-3</v>
          </cell>
          <cell r="AH57">
            <v>4.2703460352454111E-3</v>
          </cell>
          <cell r="AI57">
            <v>4.6004537047980966E-3</v>
          </cell>
          <cell r="AJ57">
            <v>4.9001924677041335E-3</v>
          </cell>
          <cell r="AK57">
            <v>5.1720871785026264E-3</v>
          </cell>
          <cell r="AL57">
            <v>5.4186557477029617E-3</v>
          </cell>
          <cell r="AM57">
            <v>5.6422973570139619E-3</v>
          </cell>
          <cell r="AN57">
            <v>5.8452379576190358E-3</v>
          </cell>
          <cell r="AO57">
            <v>6.0295092078202824E-3</v>
          </cell>
          <cell r="AQ57">
            <v>3.9937499999999959</v>
          </cell>
          <cell r="AR57">
            <v>4.4884163304393133E-3</v>
          </cell>
        </row>
        <row r="58">
          <cell r="T58">
            <v>4.8249999999999993</v>
          </cell>
          <cell r="U58">
            <v>1.7438900818578925E-92</v>
          </cell>
          <cell r="V58">
            <v>4.0062765724707774E-11</v>
          </cell>
          <cell r="W58">
            <v>6.2897648224888714E-7</v>
          </cell>
          <cell r="X58">
            <v>1.8445643893000869E-5</v>
          </cell>
          <cell r="Y58">
            <v>1.0094039099490585E-4</v>
          </cell>
          <cell r="Z58">
            <v>2.7825150037409917E-4</v>
          </cell>
          <cell r="AA58">
            <v>5.4308910675407256E-4</v>
          </cell>
          <cell r="AB58">
            <v>8.7009725239343754E-4</v>
          </cell>
          <cell r="AC58">
            <v>1.2326063315703643E-3</v>
          </cell>
          <cell r="AD58">
            <v>1.6092472027885696E-3</v>
          </cell>
          <cell r="AE58">
            <v>1.984949879248138E-3</v>
          </cell>
          <cell r="AF58">
            <v>2.3499377394325676E-3</v>
          </cell>
          <cell r="AG58">
            <v>2.69834457328068E-3</v>
          </cell>
          <cell r="AH58">
            <v>3.0270088781462817E-3</v>
          </cell>
          <cell r="AI58">
            <v>3.3345630115344236E-3</v>
          </cell>
          <cell r="AJ58">
            <v>3.6207888394800751E-3</v>
          </cell>
          <cell r="AK58">
            <v>3.8861779189841256E-3</v>
          </cell>
          <cell r="AL58">
            <v>4.1316380055336074E-3</v>
          </cell>
          <cell r="AM58">
            <v>4.3583005791958318E-3</v>
          </cell>
          <cell r="AN58">
            <v>4.5673967393246948E-3</v>
          </cell>
          <cell r="AO58">
            <v>4.7601788083720216E-3</v>
          </cell>
          <cell r="AQ58">
            <v>4.0374999999999961</v>
          </cell>
          <cell r="AR58">
            <v>8.3667228215137807E-3</v>
          </cell>
        </row>
        <row r="59">
          <cell r="T59">
            <v>4.9124999999999996</v>
          </cell>
          <cell r="U59">
            <v>9.1314305673790783E-111</v>
          </cell>
          <cell r="V59">
            <v>5.8044658797886615E-13</v>
          </cell>
          <cell r="W59">
            <v>6.7456614799643501E-8</v>
          </cell>
          <cell r="X59">
            <v>4.0411965215620393E-6</v>
          </cell>
          <cell r="Y59">
            <v>3.1896189119857891E-5</v>
          </cell>
          <cell r="Z59">
            <v>1.0983199891923773E-4</v>
          </cell>
          <cell r="AA59">
            <v>2.4888395937977634E-4</v>
          </cell>
          <cell r="AB59">
            <v>4.4377056636120719E-4</v>
          </cell>
          <cell r="AC59">
            <v>6.8125429744221372E-4</v>
          </cell>
          <cell r="AD59">
            <v>9.4677111783300183E-4</v>
          </cell>
          <cell r="AE59">
            <v>1.2276013914531321E-3</v>
          </cell>
          <cell r="AF59">
            <v>1.513815838338988E-3</v>
          </cell>
          <cell r="AG59">
            <v>1.7981833990460628E-3</v>
          </cell>
          <cell r="AH59">
            <v>2.0757137780788425E-3</v>
          </cell>
          <cell r="AI59">
            <v>2.3431432751304061E-3</v>
          </cell>
          <cell r="AJ59">
            <v>2.598481353445794E-3</v>
          </cell>
          <cell r="AK59">
            <v>2.8406485843353664E-3</v>
          </cell>
          <cell r="AL59">
            <v>3.0692020132590037E-3</v>
          </cell>
          <cell r="AM59">
            <v>3.284132986819361E-3</v>
          </cell>
          <cell r="AN59">
            <v>3.4857211659256818E-3</v>
          </cell>
          <cell r="AO59">
            <v>3.6744305653821203E-3</v>
          </cell>
          <cell r="AQ59">
            <v>4.0812499999999963</v>
          </cell>
          <cell r="AR59">
            <v>1.1201374530742774E-2</v>
          </cell>
        </row>
        <row r="60">
          <cell r="T60">
            <v>5</v>
          </cell>
          <cell r="U60">
            <v>2.3507785039134473E-130</v>
          </cell>
          <cell r="V60">
            <v>6.1731401711434065E-15</v>
          </cell>
          <cell r="W60">
            <v>6.1285271128817644E-9</v>
          </cell>
          <cell r="X60">
            <v>7.8951306394032428E-7</v>
          </cell>
          <cell r="Y60">
            <v>9.2286686620152011E-6</v>
          </cell>
          <cell r="Z60">
            <v>4.0343787979903498E-5</v>
          </cell>
          <cell r="AA60">
            <v>1.0730870114909076E-4</v>
          </cell>
          <cell r="AB60">
            <v>2.1463522178105508E-4</v>
          </cell>
          <cell r="AC60">
            <v>3.5921539716599326E-4</v>
          </cell>
          <cell r="AD60">
            <v>5.3392353487003276E-4</v>
          </cell>
          <cell r="AE60">
            <v>7.3052448006993506E-4</v>
          </cell>
          <cell r="AF60">
            <v>9.4130273774156541E-4</v>
          </cell>
          <cell r="AG60">
            <v>1.1597466694069931E-3</v>
          </cell>
          <cell r="AH60">
            <v>1.3806987902867877E-3</v>
          </cell>
          <cell r="AI60">
            <v>1.6002542983850352E-3</v>
          </cell>
          <cell r="AJ60">
            <v>1.8155664757869324E-3</v>
          </cell>
          <cell r="AK60">
            <v>2.0246375491602066E-3</v>
          </cell>
          <cell r="AL60">
            <v>2.2261289635409007E-3</v>
          </cell>
          <cell r="AM60">
            <v>2.4192023616543294E-3</v>
          </cell>
          <cell r="AN60">
            <v>2.6033920390088451E-3</v>
          </cell>
          <cell r="AO60">
            <v>2.7785053694719913E-3</v>
          </cell>
          <cell r="AQ60">
            <v>4.1249999999999964</v>
          </cell>
          <cell r="AR60">
            <v>1.2823070963964988E-2</v>
          </cell>
        </row>
        <row r="61">
          <cell r="AQ61">
            <v>4.1687499999999966</v>
          </cell>
          <cell r="AR61">
            <v>1.3263159222333919E-2</v>
          </cell>
        </row>
        <row r="62">
          <cell r="AQ62">
            <v>4.2124999999999968</v>
          </cell>
          <cell r="AR62">
            <v>1.2709631886934048E-2</v>
          </cell>
        </row>
        <row r="63">
          <cell r="AQ63">
            <v>4.256249999999997</v>
          </cell>
          <cell r="AR63">
            <v>1.1441113754195492E-2</v>
          </cell>
        </row>
        <row r="64">
          <cell r="AQ64">
            <v>4.2999999999999972</v>
          </cell>
          <cell r="AR64">
            <v>9.7592894802165202E-3</v>
          </cell>
        </row>
        <row r="65">
          <cell r="U65">
            <v>0.1</v>
          </cell>
          <cell r="V65">
            <v>0.11</v>
          </cell>
          <cell r="W65">
            <v>0.12</v>
          </cell>
          <cell r="X65">
            <v>0.13</v>
          </cell>
          <cell r="Y65">
            <v>0.14000000000000001</v>
          </cell>
          <cell r="Z65">
            <v>0.15000000000000002</v>
          </cell>
          <cell r="AA65">
            <v>0.16000000000000003</v>
          </cell>
          <cell r="AB65">
            <v>0.17000000000000004</v>
          </cell>
          <cell r="AC65">
            <v>0.18000000000000005</v>
          </cell>
          <cell r="AD65">
            <v>0.19000000000000006</v>
          </cell>
          <cell r="AE65">
            <v>0.20000000000000007</v>
          </cell>
          <cell r="AF65">
            <v>0.21000000000000008</v>
          </cell>
          <cell r="AG65">
            <v>0.22000000000000008</v>
          </cell>
          <cell r="AH65">
            <v>0.23000000000000009</v>
          </cell>
          <cell r="AI65">
            <v>0.2400000000000001</v>
          </cell>
          <cell r="AJ65">
            <v>0.25000000000000011</v>
          </cell>
          <cell r="AK65">
            <v>0.26000000000000012</v>
          </cell>
          <cell r="AL65">
            <v>0.27000000000000013</v>
          </cell>
          <cell r="AM65">
            <v>0.28000000000000014</v>
          </cell>
          <cell r="AN65">
            <v>0.29000000000000015</v>
          </cell>
          <cell r="AO65">
            <v>0.30000000000000016</v>
          </cell>
          <cell r="AQ65">
            <v>4.3437499999999973</v>
          </cell>
          <cell r="AR65">
            <v>7.9351904517274228E-3</v>
          </cell>
        </row>
        <row r="66">
          <cell r="T66">
            <v>3.2499999999999969</v>
          </cell>
          <cell r="U66">
            <v>-1.3803055152212841E-2</v>
          </cell>
          <cell r="V66">
            <v>-1.5862647596005721E-2</v>
          </cell>
          <cell r="W66">
            <v>-1.7148233168754898E-2</v>
          </cell>
          <cell r="X66">
            <v>-1.7797894900914331E-2</v>
          </cell>
          <cell r="Y66">
            <v>-1.7967924307898866E-2</v>
          </cell>
          <cell r="Z66">
            <v>-1.7797219851566324E-2</v>
          </cell>
          <cell r="AA66">
            <v>-1.7396665063125715E-2</v>
          </cell>
          <cell r="AB66">
            <v>-1.684966706329272E-2</v>
          </cell>
          <cell r="AC66">
            <v>-1.6216627449889873E-2</v>
          </cell>
          <cell r="AD66">
            <v>-1.5540085071387018E-2</v>
          </cell>
          <cell r="AE66">
            <v>-1.4849282464080057E-2</v>
          </cell>
          <cell r="AF66">
            <v>-1.4163820030010814E-2</v>
          </cell>
          <cell r="AG66">
            <v>-1.3496428904896078E-2</v>
          </cell>
          <cell r="AH66">
            <v>-1.2855012263955303E-2</v>
          </cell>
          <cell r="AI66">
            <v>-1.2244120567681704E-2</v>
          </cell>
          <cell r="AJ66">
            <v>-1.1666005083636575E-2</v>
          </cell>
          <cell r="AK66">
            <v>-1.1121364037583938E-2</v>
          </cell>
          <cell r="AL66">
            <v>-1.060986767852768E-2</v>
          </cell>
          <cell r="AM66">
            <v>-1.0130525607515211E-2</v>
          </cell>
          <cell r="AN66">
            <v>-9.6819421439282623E-3</v>
          </cell>
          <cell r="AO66">
            <v>-9.2624924925304303E-3</v>
          </cell>
          <cell r="AQ66">
            <v>4.3874999999999975</v>
          </cell>
          <cell r="AR66">
            <v>6.1768686919674133E-3</v>
          </cell>
        </row>
        <row r="67">
          <cell r="T67">
            <v>3.3374999999999968</v>
          </cell>
          <cell r="U67">
            <v>-2.134072251868405E-2</v>
          </cell>
          <cell r="V67">
            <v>-2.188314141448543E-2</v>
          </cell>
          <cell r="W67">
            <v>-2.1698475417691876E-2</v>
          </cell>
          <cell r="X67">
            <v>-2.1062020853755213E-2</v>
          </cell>
          <cell r="Y67">
            <v>-2.016879226329818E-2</v>
          </cell>
          <cell r="Z67">
            <v>-1.9148825811145749E-2</v>
          </cell>
          <cell r="AA67">
            <v>-1.8085255238712555E-2</v>
          </cell>
          <cell r="AB67">
            <v>-1.7029226714772475E-2</v>
          </cell>
          <cell r="AC67">
            <v>-1.6010774756009212E-2</v>
          </cell>
          <cell r="AD67">
            <v>-1.5046308788497911E-2</v>
          </cell>
          <cell r="AE67">
            <v>-1.4143611443605104E-2</v>
          </cell>
          <cell r="AF67">
            <v>-1.3305116700904195E-2</v>
          </cell>
          <cell r="AG67">
            <v>-1.2530034715908758E-2</v>
          </cell>
          <cell r="AH67">
            <v>-1.1815716009464617E-2</v>
          </cell>
          <cell r="AI67">
            <v>-1.1158518600692629E-2</v>
          </cell>
          <cell r="AJ67">
            <v>-1.0554352138490139E-2</v>
          </cell>
          <cell r="AK67">
            <v>-9.9990130082229251E-3</v>
          </cell>
          <cell r="AL67">
            <v>-9.4883847468091205E-3</v>
          </cell>
          <cell r="AM67">
            <v>-9.0185521565567667E-3</v>
          </cell>
          <cell r="AN67">
            <v>-8.5858605907914581E-3</v>
          </cell>
          <cell r="AO67">
            <v>-8.1869408618401238E-3</v>
          </cell>
          <cell r="AQ67">
            <v>4.4312499999999977</v>
          </cell>
          <cell r="AR67">
            <v>4.6185047927380556E-3</v>
          </cell>
        </row>
        <row r="68">
          <cell r="T68">
            <v>3.4249999999999967</v>
          </cell>
          <cell r="U68">
            <v>-2.6898777608480237E-2</v>
          </cell>
          <cell r="V68">
            <v>-2.5293751673911114E-2</v>
          </cell>
          <cell r="W68">
            <v>-2.3491638977499289E-2</v>
          </cell>
          <cell r="X68">
            <v>-2.1679997687672557E-2</v>
          </cell>
          <cell r="Y68">
            <v>-1.9954120410401066E-2</v>
          </cell>
          <cell r="Z68">
            <v>-1.8356987126100292E-2</v>
          </cell>
          <cell r="AA68">
            <v>-1.6902928071860716E-2</v>
          </cell>
          <cell r="AB68">
            <v>-1.5591199398362517E-2</v>
          </cell>
          <cell r="AC68">
            <v>-1.441362179038813E-2</v>
          </cell>
          <cell r="AD68">
            <v>-1.3358803874455672E-2</v>
          </cell>
          <cell r="AE68">
            <v>-1.2414423496944143E-2</v>
          </cell>
          <cell r="AF68">
            <v>-1.1568413119289547E-2</v>
          </cell>
          <cell r="AG68">
            <v>-1.0809532258262098E-2</v>
          </cell>
          <cell r="AH68">
            <v>-1.0127601845288367E-2</v>
          </cell>
          <cell r="AI68">
            <v>-9.5135566410334306E-3</v>
          </cell>
          <cell r="AJ68">
            <v>-8.9594040452261377E-3</v>
          </cell>
          <cell r="AK68">
            <v>-8.4581388682308748E-3</v>
          </cell>
          <cell r="AL68">
            <v>-8.0036414331814288E-3</v>
          </cell>
          <cell r="AM68">
            <v>-7.5905736830178538E-3</v>
          </cell>
          <cell r="AN68">
            <v>-7.2142807413675429E-3</v>
          </cell>
          <cell r="AO68">
            <v>-6.870701306844201E-3</v>
          </cell>
          <cell r="AQ68">
            <v>4.4749999999999979</v>
          </cell>
          <cell r="AR68">
            <v>3.3259866188425245E-3</v>
          </cell>
        </row>
        <row r="69">
          <cell r="T69">
            <v>3.5124999999999966</v>
          </cell>
          <cell r="U69">
            <v>-2.7019769068949106E-2</v>
          </cell>
          <cell r="V69">
            <v>-2.391290048265372E-2</v>
          </cell>
          <cell r="W69">
            <v>-2.1224997083515672E-2</v>
          </cell>
          <cell r="X69">
            <v>-1.8923926526491712E-2</v>
          </cell>
          <cell r="Y69">
            <v>-1.6960087378081259E-2</v>
          </cell>
          <cell r="Z69">
            <v>-1.5282652309820817E-2</v>
          </cell>
          <cell r="AA69">
            <v>-1.3845633090769811E-2</v>
          </cell>
          <cell r="AB69">
            <v>-1.2609579022139789E-2</v>
          </cell>
          <cell r="AC69">
            <v>-1.1541492955555892E-2</v>
          </cell>
          <cell r="AD69">
            <v>-1.061410255968678E-2</v>
          </cell>
          <cell r="AE69">
            <v>-9.8049751457513438E-3</v>
          </cell>
          <cell r="AF69">
            <v>-9.0956732635121343E-3</v>
          </cell>
          <cell r="AG69">
            <v>-8.4710192970325286E-3</v>
          </cell>
          <cell r="AH69">
            <v>-7.9184819625436904E-3</v>
          </cell>
          <cell r="AI69">
            <v>-7.4276756357379882E-3</v>
          </cell>
          <cell r="AJ69">
            <v>-6.9899563111348421E-3</v>
          </cell>
          <cell r="AK69">
            <v>-6.5980972121881835E-3</v>
          </cell>
          <cell r="AL69">
            <v>-6.2460287425745963E-3</v>
          </cell>
          <cell r="AM69">
            <v>-5.9286298638531942E-3</v>
          </cell>
          <cell r="AN69">
            <v>-5.6415603697180568E-3</v>
          </cell>
          <cell r="AO69">
            <v>-5.3811256286919063E-3</v>
          </cell>
          <cell r="AQ69">
            <v>4.518749999999998</v>
          </cell>
          <cell r="AR69">
            <v>2.3120188671260414E-3</v>
          </cell>
        </row>
        <row r="70">
          <cell r="T70">
            <v>3.5999999999999965</v>
          </cell>
          <cell r="U70">
            <v>-2.0030774706080421E-2</v>
          </cell>
          <cell r="V70">
            <v>-1.7130202622443334E-2</v>
          </cell>
          <cell r="W70">
            <v>-1.4839538574745979E-2</v>
          </cell>
          <cell r="X70">
            <v>-1.3005061285047279E-2</v>
          </cell>
          <cell r="Y70">
            <v>-1.1516566054372035E-2</v>
          </cell>
          <cell r="Z70">
            <v>-1.0294174074552917E-2</v>
          </cell>
          <cell r="AA70">
            <v>-9.2792224655448494E-3</v>
          </cell>
          <cell r="AB70">
            <v>-8.4280377424841239E-3</v>
          </cell>
          <cell r="AC70">
            <v>-7.7076675733648622E-3</v>
          </cell>
          <cell r="AD70">
            <v>-7.0929289123001695E-3</v>
          </cell>
          <cell r="AE70">
            <v>-6.564342980480138E-3</v>
          </cell>
          <cell r="AF70">
            <v>-6.106672525881365E-3</v>
          </cell>
          <cell r="AG70">
            <v>-5.7078725068572369E-3</v>
          </cell>
          <cell r="AH70">
            <v>-5.3583279473064568E-3</v>
          </cell>
          <cell r="AI70">
            <v>-5.0502937122075889E-3</v>
          </cell>
          <cell r="AJ70">
            <v>-4.7774779862374403E-3</v>
          </cell>
          <cell r="AK70">
            <v>-4.5347292312378521E-3</v>
          </cell>
          <cell r="AL70">
            <v>-4.3177985028303471E-3</v>
          </cell>
          <cell r="AM70">
            <v>-4.1231572416212323E-3</v>
          </cell>
          <cell r="AN70">
            <v>-3.9478563209445179E-3</v>
          </cell>
          <cell r="AO70">
            <v>-3.7894160759570118E-3</v>
          </cell>
          <cell r="AQ70">
            <v>4.5624999999999982</v>
          </cell>
          <cell r="AR70">
            <v>1.5543066703633175E-3</v>
          </cell>
        </row>
        <row r="71">
          <cell r="T71">
            <v>3.6874999999999964</v>
          </cell>
          <cell r="U71">
            <v>-7.4578160074976474E-3</v>
          </cell>
          <cell r="V71">
            <v>-6.4329772478497948E-3</v>
          </cell>
          <cell r="W71">
            <v>-5.6510848991269489E-3</v>
          </cell>
          <cell r="X71">
            <v>-5.0411132118148095E-3</v>
          </cell>
          <cell r="Y71">
            <v>-4.5561735611630337E-3</v>
          </cell>
          <cell r="Z71">
            <v>-4.1643142834644833E-3</v>
          </cell>
          <cell r="AA71">
            <v>-3.8431611196643291E-3</v>
          </cell>
          <cell r="AB71">
            <v>-3.5766716287506995E-3</v>
          </cell>
          <cell r="AC71">
            <v>-3.3531026416335043E-3</v>
          </cell>
          <cell r="AD71">
            <v>-3.1636994433750249E-3</v>
          </cell>
          <cell r="AE71">
            <v>-3.0018282258154351E-3</v>
          </cell>
          <cell r="AF71">
            <v>-2.8623885460841341E-3</v>
          </cell>
          <cell r="AG71">
            <v>-2.7414071430505831E-3</v>
          </cell>
          <cell r="AH71">
            <v>-2.635751883736573E-3</v>
          </cell>
          <cell r="AI71">
            <v>-2.5429269089911654E-3</v>
          </cell>
          <cell r="AJ71">
            <v>-2.4609236795181885E-3</v>
          </cell>
          <cell r="AK71">
            <v>-2.3881111532998299E-3</v>
          </cell>
          <cell r="AL71">
            <v>-2.3231537769884078E-3</v>
          </cell>
          <cell r="AM71">
            <v>-2.2649495258309882E-3</v>
          </cell>
          <cell r="AN71">
            <v>-2.2125825823472983E-3</v>
          </cell>
          <cell r="AO71">
            <v>-2.1652868318880387E-3</v>
          </cell>
          <cell r="AQ71">
            <v>4.6062499999999984</v>
          </cell>
          <cell r="AR71">
            <v>1.0122144393403458E-3</v>
          </cell>
        </row>
        <row r="72">
          <cell r="T72">
            <v>3.7749999999999964</v>
          </cell>
          <cell r="U72">
            <v>6.6178818593824393E-3</v>
          </cell>
          <cell r="V72">
            <v>5.2316180594571202E-3</v>
          </cell>
          <cell r="W72">
            <v>4.1712068388109263E-3</v>
          </cell>
          <cell r="X72">
            <v>3.3423568449914183E-3</v>
          </cell>
          <cell r="Y72">
            <v>2.6824656476238861E-3</v>
          </cell>
          <cell r="Z72">
            <v>2.1486852644233374E-3</v>
          </cell>
          <cell r="AA72">
            <v>1.7109064284931814E-3</v>
          </cell>
          <cell r="AB72">
            <v>1.3474799148358487E-3</v>
          </cell>
          <cell r="AC72">
            <v>1.0425218847505083E-3</v>
          </cell>
          <cell r="AD72">
            <v>7.8416811069365652E-4</v>
          </cell>
          <cell r="AE72">
            <v>5.6341421064962571E-4</v>
          </cell>
          <cell r="AF72">
            <v>3.7332774254595388E-4</v>
          </cell>
          <cell r="AG72">
            <v>2.0850206645372436E-4</v>
          </cell>
          <cell r="AH72">
            <v>6.4670865790893137E-5</v>
          </cell>
          <cell r="AI72">
            <v>-6.1568440545107261E-5</v>
          </cell>
          <cell r="AJ72">
            <v>-1.7295614568684707E-4</v>
          </cell>
          <cell r="AK72">
            <v>-2.7171899551778589E-4</v>
          </cell>
          <cell r="AL72">
            <v>-3.5968139981583359E-4</v>
          </cell>
          <cell r="AM72">
            <v>-4.3834954968546516E-4</v>
          </cell>
          <cell r="AN72">
            <v>-5.0897572492961801E-4</v>
          </cell>
          <cell r="AO72">
            <v>-5.7260794553089332E-4</v>
          </cell>
          <cell r="AQ72">
            <v>4.6499999999999986</v>
          </cell>
          <cell r="AR72">
            <v>6.3948879221440238E-4</v>
          </cell>
        </row>
        <row r="73">
          <cell r="T73">
            <v>3.8624999999999963</v>
          </cell>
          <cell r="U73">
            <v>1.7793150243463587E-2</v>
          </cell>
          <cell r="V73">
            <v>1.4823629524208565E-2</v>
          </cell>
          <cell r="W73">
            <v>1.2464231364252086E-2</v>
          </cell>
          <cell r="X73">
            <v>1.0566092202162007E-2</v>
          </cell>
          <cell r="Y73">
            <v>9.0205593516402525E-3</v>
          </cell>
          <cell r="Z73">
            <v>7.7478678606157916E-3</v>
          </cell>
          <cell r="AA73">
            <v>6.6888799248541022E-3</v>
          </cell>
          <cell r="AB73">
            <v>5.7992460963956407E-3</v>
          </cell>
          <cell r="AC73">
            <v>5.045310897330773E-3</v>
          </cell>
          <cell r="AD73">
            <v>4.4012344712443842E-3</v>
          </cell>
          <cell r="AE73">
            <v>3.8469540267429369E-3</v>
          </cell>
          <cell r="AF73">
            <v>3.3667259294865737E-3</v>
          </cell>
          <cell r="AG73">
            <v>2.9480718203179486E-3</v>
          </cell>
          <cell r="AH73">
            <v>2.5810083722148189E-3</v>
          </cell>
          <cell r="AI73">
            <v>2.2574781875194117E-3</v>
          </cell>
          <cell r="AJ73">
            <v>1.9709248420535907E-3</v>
          </cell>
          <cell r="AK73">
            <v>1.715972329131808E-3</v>
          </cell>
          <cell r="AL73">
            <v>1.4881809043328028E-3</v>
          </cell>
          <cell r="AM73">
            <v>1.2838594052372863E-3</v>
          </cell>
          <cell r="AN73">
            <v>1.0999197217308897E-3</v>
          </cell>
          <cell r="AO73">
            <v>9.337630171272832E-4</v>
          </cell>
          <cell r="AQ73">
            <v>4.6937499999999988</v>
          </cell>
          <cell r="AR73">
            <v>3.9245287647968636E-4</v>
          </cell>
        </row>
        <row r="74">
          <cell r="T74">
            <v>3.9499999999999962</v>
          </cell>
          <cell r="U74">
            <v>2.3481760486153552E-2</v>
          </cell>
          <cell r="V74">
            <v>2.0437365095931307E-2</v>
          </cell>
          <cell r="W74">
            <v>1.7805116045275932E-2</v>
          </cell>
          <cell r="X74">
            <v>1.5552484304139635E-2</v>
          </cell>
          <cell r="Y74">
            <v>1.363042356600856E-2</v>
          </cell>
          <cell r="Z74">
            <v>1.1988948417458671E-2</v>
          </cell>
          <cell r="AA74">
            <v>1.0582931203785752E-2</v>
          </cell>
          <cell r="AB74">
            <v>9.3737013074477044E-3</v>
          </cell>
          <cell r="AC74">
            <v>8.3289333673500551E-3</v>
          </cell>
          <cell r="AD74">
            <v>7.4219197224144754E-3</v>
          </cell>
          <cell r="AE74">
            <v>6.6306969439306621E-3</v>
          </cell>
          <cell r="AF74">
            <v>5.9372157725090351E-3</v>
          </cell>
          <cell r="AG74">
            <v>5.3266194830859379E-3</v>
          </cell>
          <cell r="AH74">
            <v>4.7866424501312637E-3</v>
          </cell>
          <cell r="AI74">
            <v>4.3071196053599435E-3</v>
          </cell>
          <cell r="AJ74">
            <v>3.8795907163123844E-3</v>
          </cell>
          <cell r="AK74">
            <v>3.4969827516813014E-3</v>
          </cell>
          <cell r="AL74">
            <v>3.1533552891324797E-3</v>
          </cell>
          <cell r="AM74">
            <v>2.8436962931758332E-3</v>
          </cell>
          <cell r="AN74">
            <v>2.563757939786776E-3</v>
          </cell>
          <cell r="AO74">
            <v>2.309924229382971E-3</v>
          </cell>
          <cell r="AQ74">
            <v>4.7374999999999989</v>
          </cell>
          <cell r="AR74">
            <v>2.3423610492195778E-4</v>
          </cell>
        </row>
        <row r="75">
          <cell r="T75">
            <v>4.0374999999999961</v>
          </cell>
          <cell r="U75">
            <v>2.3633969862805269E-2</v>
          </cell>
          <cell r="V75">
            <v>2.1764834919072763E-2</v>
          </cell>
          <cell r="W75">
            <v>1.9811820890529928E-2</v>
          </cell>
          <cell r="X75">
            <v>1.7923179960952169E-2</v>
          </cell>
          <cell r="Y75">
            <v>1.6167411707186264E-2</v>
          </cell>
          <cell r="Z75">
            <v>1.4569785947021215E-2</v>
          </cell>
          <cell r="AA75">
            <v>1.3133101434501629E-2</v>
          </cell>
          <cell r="AB75">
            <v>1.1849168284666256E-2</v>
          </cell>
          <cell r="AC75">
            <v>1.0705029894324708E-2</v>
          </cell>
          <cell r="AD75">
            <v>9.6862532181018462E-3</v>
          </cell>
          <cell r="AE75">
            <v>8.7786021398654143E-3</v>
          </cell>
          <cell r="AF75">
            <v>7.9688280106828026E-3</v>
          </cell>
          <cell r="AG75">
            <v>7.244985344225202E-3</v>
          </cell>
          <cell r="AH75">
            <v>6.5964987483006195E-3</v>
          </cell>
          <cell r="AI75">
            <v>6.0141057781317253E-3</v>
          </cell>
          <cell r="AJ75">
            <v>5.4897438255213978E-3</v>
          </cell>
          <cell r="AK75">
            <v>5.0164175762056704E-3</v>
          </cell>
          <cell r="AL75">
            <v>4.5880659673699867E-3</v>
          </cell>
          <cell r="AM75">
            <v>4.1994378279105321E-3</v>
          </cell>
          <cell r="AN75">
            <v>3.8459800537827961E-3</v>
          </cell>
          <cell r="AO75">
            <v>3.5237393280856135E-3</v>
          </cell>
          <cell r="AQ75">
            <v>4.7812499999999991</v>
          </cell>
          <cell r="AR75">
            <v>1.3611522677602463E-4</v>
          </cell>
        </row>
        <row r="76">
          <cell r="T76">
            <v>4.1249999999999964</v>
          </cell>
          <cell r="U76">
            <v>1.9999907267086017E-2</v>
          </cell>
          <cell r="V76">
            <v>1.9763776308139438E-2</v>
          </cell>
          <cell r="W76">
            <v>1.8990938444120965E-2</v>
          </cell>
          <cell r="X76">
            <v>1.7928914117927627E-2</v>
          </cell>
          <cell r="Y76">
            <v>1.6737915476252092E-2</v>
          </cell>
          <cell r="Z76">
            <v>1.5516325326227496E-2</v>
          </cell>
          <cell r="AA76">
            <v>1.4321657290400622E-2</v>
          </cell>
          <cell r="AB76">
            <v>1.3185439159900589E-2</v>
          </cell>
          <cell r="AC76">
            <v>1.2123115393981764E-2</v>
          </cell>
          <cell r="AD76">
            <v>1.1140418150504346E-2</v>
          </cell>
          <cell r="AE76">
            <v>1.0237386776031534E-2</v>
          </cell>
          <cell r="AF76">
            <v>9.4108692845779589E-3</v>
          </cell>
          <cell r="AG76">
            <v>8.6560598299522448E-3</v>
          </cell>
          <cell r="AH76">
            <v>7.9674296670955071E-3</v>
          </cell>
          <cell r="AI76">
            <v>7.3392789048470526E-3</v>
          </cell>
          <cell r="AJ76">
            <v>6.7660525250902524E-3</v>
          </cell>
          <cell r="AK76">
            <v>6.2425109144824201E-3</v>
          </cell>
          <cell r="AL76">
            <v>5.7638115661672361E-3</v>
          </cell>
          <cell r="AM76">
            <v>5.3255374586064228E-3</v>
          </cell>
          <cell r="AN76">
            <v>4.923694301352137E-3</v>
          </cell>
          <cell r="AO76">
            <v>4.5546904458460009E-3</v>
          </cell>
          <cell r="AQ76">
            <v>4.8249999999999993</v>
          </cell>
          <cell r="AR76">
            <v>7.7087712284043747E-5</v>
          </cell>
        </row>
        <row r="77">
          <cell r="T77">
            <v>4.2124999999999968</v>
          </cell>
          <cell r="U77">
            <v>1.4821702466266207E-2</v>
          </cell>
          <cell r="V77">
            <v>1.5933567713315298E-2</v>
          </cell>
          <cell r="W77">
            <v>1.6328347677602592E-2</v>
          </cell>
          <cell r="X77">
            <v>1.6212243462694269E-2</v>
          </cell>
          <cell r="Y77">
            <v>1.5758155347000355E-2</v>
          </cell>
          <cell r="Z77">
            <v>1.509628188191255E-2</v>
          </cell>
          <cell r="AA77">
            <v>1.4318916505079732E-2</v>
          </cell>
          <cell r="AB77">
            <v>1.3488879204982332E-2</v>
          </cell>
          <cell r="AC77">
            <v>1.2647521587130717E-2</v>
          </cell>
          <cell r="AD77">
            <v>1.1821132270250636E-2</v>
          </cell>
          <cell r="AE77">
            <v>1.1025684681001999E-2</v>
          </cell>
          <cell r="AF77">
            <v>1.0270216474819635E-2</v>
          </cell>
          <cell r="AG77">
            <v>9.5591789943384811E-3</v>
          </cell>
          <cell r="AH77">
            <v>8.8940466233272692E-3</v>
          </cell>
          <cell r="AI77">
            <v>8.2744077504779533E-3</v>
          </cell>
          <cell r="AJ77">
            <v>7.6986979788962627E-3</v>
          </cell>
          <cell r="AK77">
            <v>7.1646886347975017E-3</v>
          </cell>
          <cell r="AL77">
            <v>6.6698088598573834E-3</v>
          </cell>
          <cell r="AM77">
            <v>6.2113550022530909E-3</v>
          </cell>
          <cell r="AN77">
            <v>5.7866239769107063E-3</v>
          </cell>
          <cell r="AO77">
            <v>5.392995560895163E-3</v>
          </cell>
          <cell r="AQ77">
            <v>4.8687499999999995</v>
          </cell>
          <cell r="AR77">
            <v>4.2589031562814769E-5</v>
          </cell>
        </row>
        <row r="78">
          <cell r="T78">
            <v>4.2999999999999972</v>
          </cell>
          <cell r="U78">
            <v>9.8377932505848351E-3</v>
          </cell>
          <cell r="V78">
            <v>1.1655959714380139E-2</v>
          </cell>
          <cell r="W78">
            <v>1.2864538209136446E-2</v>
          </cell>
          <cell r="X78">
            <v>1.353515168474799E-2</v>
          </cell>
          <cell r="Y78">
            <v>1.3778228585047016E-2</v>
          </cell>
          <cell r="Z78">
            <v>1.3704022345458346E-2</v>
          </cell>
          <cell r="AA78">
            <v>1.3406735053318406E-2</v>
          </cell>
          <cell r="AB78">
            <v>1.2960693839164792E-2</v>
          </cell>
          <cell r="AC78">
            <v>1.2421794049448454E-2</v>
          </cell>
          <cell r="AD78">
            <v>1.1830707022166251E-2</v>
          </cell>
          <cell r="AE78">
            <v>1.1216266106505208E-2</v>
          </cell>
          <cell r="AF78">
            <v>1.0598422937333542E-2</v>
          </cell>
          <cell r="AG78">
            <v>9.9906184032956084E-3</v>
          </cell>
          <cell r="AH78">
            <v>9.401599054785997E-3</v>
          </cell>
          <cell r="AI78">
            <v>8.8367713417187403E-3</v>
          </cell>
          <cell r="AJ78">
            <v>8.2991940759311617E-3</v>
          </cell>
          <cell r="AK78">
            <v>7.7902974388003718E-3</v>
          </cell>
          <cell r="AL78">
            <v>7.3103995677419398E-3</v>
          </cell>
          <cell r="AM78">
            <v>6.8590752361889894E-3</v>
          </cell>
          <cell r="AN78">
            <v>6.4354173529215641E-3</v>
          </cell>
          <cell r="AO78">
            <v>6.0382212171851456E-3</v>
          </cell>
          <cell r="AQ78">
            <v>4.9124999999999996</v>
          </cell>
          <cell r="AR78">
            <v>2.297348489220601E-5</v>
          </cell>
        </row>
        <row r="79">
          <cell r="T79">
            <v>4.3874999999999975</v>
          </cell>
          <cell r="U79">
            <v>5.9341302515698857E-3</v>
          </cell>
          <cell r="V79">
            <v>7.8449618475029993E-3</v>
          </cell>
          <cell r="W79">
            <v>9.4123117041125179E-3</v>
          </cell>
          <cell r="X79">
            <v>1.0569469650526265E-2</v>
          </cell>
          <cell r="Y79">
            <v>1.1331836235786923E-2</v>
          </cell>
          <cell r="Z79">
            <v>1.1754200800023304E-2</v>
          </cell>
          <cell r="AA79">
            <v>1.1903342201929417E-2</v>
          </cell>
          <cell r="AB79">
            <v>1.1843562136958641E-2</v>
          </cell>
          <cell r="AC79">
            <v>1.1630488267145972E-2</v>
          </cell>
          <cell r="AD79">
            <v>1.1309415190382593E-2</v>
          </cell>
          <cell r="AE79">
            <v>1.0915822397716197E-2</v>
          </cell>
          <cell r="AF79">
            <v>1.0476751607681767E-2</v>
          </cell>
          <cell r="AG79">
            <v>1.0012376892293531E-2</v>
          </cell>
          <cell r="AH79">
            <v>9.5374669178450566E-3</v>
          </cell>
          <cell r="AI79">
            <v>9.0626291249469755E-3</v>
          </cell>
          <cell r="AJ79">
            <v>8.5953173917665236E-3</v>
          </cell>
          <cell r="AK79">
            <v>8.1406241542443577E-3</v>
          </cell>
          <cell r="AL79">
            <v>7.7018912595374165E-3</v>
          </cell>
          <cell r="AM79">
            <v>7.281174991092116E-3</v>
          </cell>
          <cell r="AN79">
            <v>6.8795968766252966E-3</v>
          </cell>
          <cell r="AO79">
            <v>6.497606548511183E-3</v>
          </cell>
          <cell r="AQ79">
            <v>4.9562499999999998</v>
          </cell>
          <cell r="AR79">
            <v>1.210965960339546E-5</v>
          </cell>
        </row>
        <row r="80">
          <cell r="T80">
            <v>4.4749999999999979</v>
          </cell>
          <cell r="U80">
            <v>3.2873583619684667E-3</v>
          </cell>
          <cell r="V80">
            <v>4.9057043686827643E-3</v>
          </cell>
          <cell r="W80">
            <v>6.4547745264451574E-3</v>
          </cell>
          <cell r="X80">
            <v>7.7889372411804074E-3</v>
          </cell>
          <cell r="Y80">
            <v>8.8423474384368358E-3</v>
          </cell>
          <cell r="Z80">
            <v>9.6063198508119091E-3</v>
          </cell>
          <cell r="AA80">
            <v>1.0105009860726471E-2</v>
          </cell>
          <cell r="AB80">
            <v>1.0377327898239686E-2</v>
          </cell>
          <cell r="AC80">
            <v>1.0465742052817625E-2</v>
          </cell>
          <cell r="AD80">
            <v>1.0410286274529924E-2</v>
          </cell>
          <cell r="AE80">
            <v>1.0245899394977083E-2</v>
          </cell>
          <cell r="AF80">
            <v>1.0001670515654464E-2</v>
          </cell>
          <cell r="AG80">
            <v>9.7010645769806895E-3</v>
          </cell>
          <cell r="AH80">
            <v>9.3625801726004865E-3</v>
          </cell>
          <cell r="AI80">
            <v>9.0005394954431033E-3</v>
          </cell>
          <cell r="AJ80">
            <v>8.6258595839384875E-3</v>
          </cell>
          <cell r="AK80">
            <v>8.2467385723917711E-3</v>
          </cell>
          <cell r="AL80">
            <v>7.8692357841177365E-3</v>
          </cell>
          <cell r="AM80">
            <v>7.4977468924842926E-3</v>
          </cell>
          <cell r="AN80">
            <v>7.1353852048786628E-3</v>
          </cell>
          <cell r="AO80">
            <v>6.7842833514973879E-3</v>
          </cell>
          <cell r="AQ80">
            <v>5</v>
          </cell>
          <cell r="AR80">
            <v>6.2424079011947959E-6</v>
          </cell>
        </row>
        <row r="81">
          <cell r="T81">
            <v>4.5624999999999982</v>
          </cell>
          <cell r="U81">
            <v>1.686216017780203E-3</v>
          </cell>
          <cell r="V81">
            <v>2.8716251959761802E-3</v>
          </cell>
          <cell r="W81">
            <v>4.178068461837531E-3</v>
          </cell>
          <cell r="X81">
            <v>5.452535005471674E-3</v>
          </cell>
          <cell r="Y81">
            <v>6.587623494738468E-3</v>
          </cell>
          <cell r="Z81">
            <v>7.5262178481276497E-3</v>
          </cell>
          <cell r="AA81">
            <v>8.2506885177432241E-3</v>
          </cell>
          <cell r="AB81">
            <v>8.7689360079909462E-3</v>
          </cell>
          <cell r="AC81">
            <v>9.1026969070923443E-3</v>
          </cell>
          <cell r="AD81">
            <v>9.2794193523977539E-3</v>
          </cell>
          <cell r="AE81">
            <v>9.3272877602159458E-3</v>
          </cell>
          <cell r="AF81">
            <v>9.2725254456673678E-3</v>
          </cell>
          <cell r="AG81">
            <v>9.1381689819160141E-3</v>
          </cell>
          <cell r="AH81">
            <v>8.9437147117078699E-3</v>
          </cell>
          <cell r="AI81">
            <v>8.7052380670578477E-3</v>
          </cell>
          <cell r="AJ81">
            <v>8.4357386021455642E-3</v>
          </cell>
          <cell r="AK81">
            <v>8.145567093143638E-3</v>
          </cell>
          <cell r="AL81">
            <v>7.842856694506517E-3</v>
          </cell>
          <cell r="AM81">
            <v>7.5339197080100543E-3</v>
          </cell>
          <cell r="AN81">
            <v>7.2235942760234591E-3</v>
          </cell>
          <cell r="AO81">
            <v>6.9155377098006144E-3</v>
          </cell>
        </row>
        <row r="82">
          <cell r="T82">
            <v>4.6499999999999986</v>
          </cell>
          <cell r="U82">
            <v>8.0620423701533361E-4</v>
          </cell>
          <cell r="V82">
            <v>1.58299112575839E-3</v>
          </cell>
          <cell r="W82">
            <v>2.5667151376580983E-3</v>
          </cell>
          <cell r="X82">
            <v>3.6446122474620497E-3</v>
          </cell>
          <cell r="Y82">
            <v>4.7086583888637165E-3</v>
          </cell>
          <cell r="Z82">
            <v>5.6789628861655464E-3</v>
          </cell>
          <cell r="AA82">
            <v>6.5083434351685052E-3</v>
          </cell>
          <cell r="AB82">
            <v>7.1770952832333548E-3</v>
          </cell>
          <cell r="AC82">
            <v>7.6848398107728332E-3</v>
          </cell>
          <cell r="AD82">
            <v>8.0429722342286979E-3</v>
          </cell>
          <cell r="AE82">
            <v>8.2689200252795744E-3</v>
          </cell>
          <cell r="AF82">
            <v>8.3822720586206306E-3</v>
          </cell>
          <cell r="AG82">
            <v>8.4024136230355598E-3</v>
          </cell>
          <cell r="AH82">
            <v>8.3472318508031346E-3</v>
          </cell>
          <cell r="AI82">
            <v>8.2325214604769045E-3</v>
          </cell>
          <cell r="AJ82">
            <v>8.0718176005147909E-3</v>
          </cell>
          <cell r="AK82">
            <v>7.876469995909954E-3</v>
          </cell>
          <cell r="AL82">
            <v>7.6558392818888397E-3</v>
          </cell>
          <cell r="AM82">
            <v>7.4175430058195648E-3</v>
          </cell>
          <cell r="AN82">
            <v>7.1677095507829821E-3</v>
          </cell>
          <cell r="AO82">
            <v>6.9112176987928143E-3</v>
          </cell>
        </row>
        <row r="83">
          <cell r="T83">
            <v>4.7374999999999989</v>
          </cell>
          <cell r="U83">
            <v>3.6131041436317994E-4</v>
          </cell>
          <cell r="V83">
            <v>8.2589988738111743E-4</v>
          </cell>
          <cell r="W83">
            <v>1.5033586138663512E-3</v>
          </cell>
          <cell r="X83">
            <v>2.3359279652847942E-3</v>
          </cell>
          <cell r="Y83">
            <v>3.2417283303542667E-3</v>
          </cell>
          <cell r="Z83">
            <v>4.1423228166142132E-3</v>
          </cell>
          <cell r="AA83">
            <v>4.9775241232581013E-3</v>
          </cell>
          <cell r="AB83">
            <v>5.7090985737509679E-3</v>
          </cell>
          <cell r="AC83">
            <v>6.3182030057093745E-3</v>
          </cell>
          <cell r="AD83">
            <v>6.8005155667007922E-3</v>
          </cell>
          <cell r="AE83">
            <v>7.1613149358331065E-3</v>
          </cell>
          <cell r="AF83">
            <v>7.41145482512878E-3</v>
          </cell>
          <cell r="AG83">
            <v>7.5644414209480428E-3</v>
          </cell>
          <cell r="AH83">
            <v>7.6344910938184029E-3</v>
          </cell>
          <cell r="AI83">
            <v>7.6353436186510247E-3</v>
          </cell>
          <cell r="AJ83">
            <v>7.5796095144541895E-3</v>
          </cell>
          <cell r="AK83">
            <v>7.4784713450262138E-3</v>
          </cell>
          <cell r="AL83">
            <v>7.341606086865112E-3</v>
          </cell>
          <cell r="AM83">
            <v>7.1772365443393835E-3</v>
          </cell>
          <cell r="AN83">
            <v>6.9922510997781039E-3</v>
          </cell>
          <cell r="AO83">
            <v>6.7923534549386832E-3</v>
          </cell>
        </row>
        <row r="84">
          <cell r="T84">
            <v>4.8249999999999993</v>
          </cell>
          <cell r="U84">
            <v>1.5252032162058673E-4</v>
          </cell>
          <cell r="V84">
            <v>4.095769304474046E-4</v>
          </cell>
          <cell r="W84">
            <v>8.4276120926636566E-4</v>
          </cell>
          <cell r="X84">
            <v>1.4406323497959095E-3</v>
          </cell>
          <cell r="Y84">
            <v>2.1566751280394235E-3</v>
          </cell>
          <cell r="Z84">
            <v>2.9297446654124155E-3</v>
          </cell>
          <cell r="AA84">
            <v>3.7014812549492891E-3</v>
          </cell>
          <cell r="AB84">
            <v>4.4259065365627433E-3</v>
          </cell>
          <cell r="AC84">
            <v>5.0722237959035625E-3</v>
          </cell>
          <cell r="AD84">
            <v>5.6235522308870876E-3</v>
          </cell>
          <cell r="AE84">
            <v>6.073943854023686E-3</v>
          </cell>
          <cell r="AF84">
            <v>6.4251311602227332E-3</v>
          </cell>
          <cell r="AG84">
            <v>6.683699272451135E-3</v>
          </cell>
          <cell r="AH84">
            <v>6.858907028154896E-3</v>
          </cell>
          <cell r="AI84">
            <v>6.9611429678146739E-3</v>
          </cell>
          <cell r="AJ84">
            <v>7.000907003142787E-3</v>
          </cell>
          <cell r="AK84">
            <v>6.9881885347387648E-3</v>
          </cell>
          <cell r="AL84">
            <v>6.9321249136697514E-3</v>
          </cell>
          <cell r="AM84">
            <v>6.8408479519171421E-3</v>
          </cell>
          <cell r="AN84">
            <v>6.7214502178656009E-3</v>
          </cell>
          <cell r="AO84">
            <v>6.5800231003960673E-3</v>
          </cell>
        </row>
        <row r="85">
          <cell r="T85">
            <v>4.9124999999999996</v>
          </cell>
          <cell r="U85">
            <v>6.0903639993179278E-5</v>
          </cell>
          <cell r="V85">
            <v>1.9378835185249874E-4</v>
          </cell>
          <cell r="W85">
            <v>4.5368388194248538E-4</v>
          </cell>
          <cell r="X85">
            <v>8.5752550155611211E-4</v>
          </cell>
          <cell r="Y85">
            <v>1.3903680582342962E-3</v>
          </cell>
          <cell r="Z85">
            <v>2.014420224735072E-3</v>
          </cell>
          <cell r="AA85">
            <v>2.68294829873019E-3</v>
          </cell>
          <cell r="AB85">
            <v>3.3516035484014695E-3</v>
          </cell>
          <cell r="AC85">
            <v>3.9847750217632209E-3</v>
          </cell>
          <cell r="AD85">
            <v>4.5576453492007646E-3</v>
          </cell>
          <cell r="AE85">
            <v>5.0555624626916719E-3</v>
          </cell>
          <cell r="AF85">
            <v>5.4721618764917721E-3</v>
          </cell>
          <cell r="AG85">
            <v>5.8071795390485159E-3</v>
          </cell>
          <cell r="AH85">
            <v>6.0644502246650443E-3</v>
          </cell>
          <cell r="AI85">
            <v>6.2502879272935815E-3</v>
          </cell>
          <cell r="AJ85">
            <v>6.3722779412518551E-3</v>
          </cell>
          <cell r="AK85">
            <v>6.4384328573466546E-3</v>
          </cell>
          <cell r="AL85">
            <v>6.456638809162106E-3</v>
          </cell>
          <cell r="AM85">
            <v>6.4343182780396179E-3</v>
          </cell>
          <cell r="AN85">
            <v>6.3782464870720187E-3</v>
          </cell>
          <cell r="AO85">
            <v>6.2944719548585814E-3</v>
          </cell>
        </row>
        <row r="86">
          <cell r="T86">
            <v>5</v>
          </cell>
          <cell r="U86">
            <v>2.3093187942426942E-5</v>
          </cell>
          <cell r="V86">
            <v>8.7769590449592884E-5</v>
          </cell>
          <cell r="W86">
            <v>2.3522585354343817E-4</v>
          </cell>
          <cell r="X86">
            <v>4.9395812921184355E-4</v>
          </cell>
          <cell r="Y86">
            <v>8.7068449002323373E-4</v>
          </cell>
          <cell r="Z86">
            <v>1.3495033081181264E-3</v>
          </cell>
          <cell r="AA86">
            <v>1.8994509923801403E-3</v>
          </cell>
          <cell r="AB86">
            <v>2.4841078283690411E-3</v>
          </cell>
          <cell r="AC86">
            <v>3.0691495314834859E-3</v>
          </cell>
          <cell r="AD86">
            <v>3.626632778365382E-3</v>
          </cell>
          <cell r="AE86">
            <v>4.1364848833778008E-3</v>
          </cell>
          <cell r="AF86">
            <v>4.5861899815066677E-3</v>
          </cell>
          <cell r="AG86">
            <v>4.9695731881905401E-3</v>
          </cell>
          <cell r="AH86">
            <v>5.2853016191675359E-3</v>
          </cell>
          <cell r="AI86">
            <v>5.5354522182369161E-3</v>
          </cell>
          <cell r="AJ86">
            <v>5.7243047307072139E-3</v>
          </cell>
          <cell r="AK86">
            <v>5.8574029869926771E-3</v>
          </cell>
          <cell r="AL86">
            <v>5.9408682939142586E-3</v>
          </cell>
          <cell r="AM86">
            <v>5.9809241343124911E-3</v>
          </cell>
          <cell r="AN86">
            <v>5.9835859277941753E-3</v>
          </cell>
          <cell r="AO86">
            <v>5.9544733475221942E-3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5"/>
  <sheetViews>
    <sheetView showGridLines="0" tabSelected="1" topLeftCell="A7" workbookViewId="0">
      <selection activeCell="B3" sqref="B3:C3"/>
    </sheetView>
  </sheetViews>
  <sheetFormatPr defaultColWidth="8.85546875" defaultRowHeight="12.75"/>
  <cols>
    <col min="1" max="1" width="4.140625" customWidth="1"/>
    <col min="2" max="2" width="26.28515625" style="1" bestFit="1" customWidth="1"/>
    <col min="3" max="3" width="12.5703125" bestFit="1" customWidth="1"/>
    <col min="4" max="4" width="20.7109375" style="1" bestFit="1" customWidth="1"/>
    <col min="5" max="5" width="15.28515625" bestFit="1" customWidth="1"/>
    <col min="6" max="6" width="19.140625" customWidth="1"/>
    <col min="7" max="7" width="12.28515625" customWidth="1"/>
    <col min="8" max="8" width="24.7109375" bestFit="1" customWidth="1"/>
    <col min="9" max="9" width="12" bestFit="1" customWidth="1"/>
    <col min="10" max="10" width="19.42578125" customWidth="1"/>
    <col min="11" max="11" width="15.7109375" customWidth="1"/>
    <col min="12" max="13" width="8.85546875" customWidth="1"/>
    <col min="14" max="14" width="8.85546875" hidden="1" customWidth="1"/>
    <col min="15" max="15" width="10.28515625" hidden="1" customWidth="1"/>
    <col min="16" max="17" width="8.85546875" hidden="1" customWidth="1"/>
    <col min="18" max="18" width="14.7109375" hidden="1" customWidth="1"/>
    <col min="19" max="19" width="0" hidden="1" customWidth="1"/>
    <col min="257" max="257" width="4.140625" customWidth="1"/>
    <col min="258" max="258" width="19.85546875" customWidth="1"/>
    <col min="259" max="259" width="23.42578125" customWidth="1"/>
    <col min="260" max="260" width="21.7109375" customWidth="1"/>
    <col min="261" max="261" width="16.7109375" customWidth="1"/>
    <col min="262" max="262" width="19.140625" customWidth="1"/>
    <col min="263" max="263" width="18.140625" customWidth="1"/>
    <col min="264" max="264" width="21" customWidth="1"/>
    <col min="265" max="265" width="14.42578125" customWidth="1"/>
    <col min="266" max="266" width="19.42578125" customWidth="1"/>
    <col min="267" max="267" width="15.7109375" customWidth="1"/>
    <col min="271" max="271" width="10.28515625" customWidth="1"/>
    <col min="274" max="274" width="14.7109375" customWidth="1"/>
    <col min="513" max="513" width="4.140625" customWidth="1"/>
    <col min="514" max="514" width="19.85546875" customWidth="1"/>
    <col min="515" max="515" width="23.42578125" customWidth="1"/>
    <col min="516" max="516" width="21.7109375" customWidth="1"/>
    <col min="517" max="517" width="16.7109375" customWidth="1"/>
    <col min="518" max="518" width="19.140625" customWidth="1"/>
    <col min="519" max="519" width="18.140625" customWidth="1"/>
    <col min="520" max="520" width="21" customWidth="1"/>
    <col min="521" max="521" width="14.42578125" customWidth="1"/>
    <col min="522" max="522" width="19.42578125" customWidth="1"/>
    <col min="523" max="523" width="15.7109375" customWidth="1"/>
    <col min="527" max="527" width="10.28515625" customWidth="1"/>
    <col min="530" max="530" width="14.7109375" customWidth="1"/>
    <col min="769" max="769" width="4.140625" customWidth="1"/>
    <col min="770" max="770" width="19.85546875" customWidth="1"/>
    <col min="771" max="771" width="23.42578125" customWidth="1"/>
    <col min="772" max="772" width="21.7109375" customWidth="1"/>
    <col min="773" max="773" width="16.7109375" customWidth="1"/>
    <col min="774" max="774" width="19.140625" customWidth="1"/>
    <col min="775" max="775" width="18.140625" customWidth="1"/>
    <col min="776" max="776" width="21" customWidth="1"/>
    <col min="777" max="777" width="14.42578125" customWidth="1"/>
    <col min="778" max="778" width="19.42578125" customWidth="1"/>
    <col min="779" max="779" width="15.7109375" customWidth="1"/>
    <col min="783" max="783" width="10.28515625" customWidth="1"/>
    <col min="786" max="786" width="14.7109375" customWidth="1"/>
    <col min="1025" max="1025" width="4.140625" customWidth="1"/>
    <col min="1026" max="1026" width="19.85546875" customWidth="1"/>
    <col min="1027" max="1027" width="23.42578125" customWidth="1"/>
    <col min="1028" max="1028" width="21.7109375" customWidth="1"/>
    <col min="1029" max="1029" width="16.7109375" customWidth="1"/>
    <col min="1030" max="1030" width="19.140625" customWidth="1"/>
    <col min="1031" max="1031" width="18.140625" customWidth="1"/>
    <col min="1032" max="1032" width="21" customWidth="1"/>
    <col min="1033" max="1033" width="14.42578125" customWidth="1"/>
    <col min="1034" max="1034" width="19.42578125" customWidth="1"/>
    <col min="1035" max="1035" width="15.7109375" customWidth="1"/>
    <col min="1039" max="1039" width="10.28515625" customWidth="1"/>
    <col min="1042" max="1042" width="14.7109375" customWidth="1"/>
    <col min="1281" max="1281" width="4.140625" customWidth="1"/>
    <col min="1282" max="1282" width="19.85546875" customWidth="1"/>
    <col min="1283" max="1283" width="23.42578125" customWidth="1"/>
    <col min="1284" max="1284" width="21.7109375" customWidth="1"/>
    <col min="1285" max="1285" width="16.7109375" customWidth="1"/>
    <col min="1286" max="1286" width="19.140625" customWidth="1"/>
    <col min="1287" max="1287" width="18.140625" customWidth="1"/>
    <col min="1288" max="1288" width="21" customWidth="1"/>
    <col min="1289" max="1289" width="14.42578125" customWidth="1"/>
    <col min="1290" max="1290" width="19.42578125" customWidth="1"/>
    <col min="1291" max="1291" width="15.7109375" customWidth="1"/>
    <col min="1295" max="1295" width="10.28515625" customWidth="1"/>
    <col min="1298" max="1298" width="14.7109375" customWidth="1"/>
    <col min="1537" max="1537" width="4.140625" customWidth="1"/>
    <col min="1538" max="1538" width="19.85546875" customWidth="1"/>
    <col min="1539" max="1539" width="23.42578125" customWidth="1"/>
    <col min="1540" max="1540" width="21.7109375" customWidth="1"/>
    <col min="1541" max="1541" width="16.7109375" customWidth="1"/>
    <col min="1542" max="1542" width="19.140625" customWidth="1"/>
    <col min="1543" max="1543" width="18.140625" customWidth="1"/>
    <col min="1544" max="1544" width="21" customWidth="1"/>
    <col min="1545" max="1545" width="14.42578125" customWidth="1"/>
    <col min="1546" max="1546" width="19.42578125" customWidth="1"/>
    <col min="1547" max="1547" width="15.7109375" customWidth="1"/>
    <col min="1551" max="1551" width="10.28515625" customWidth="1"/>
    <col min="1554" max="1554" width="14.7109375" customWidth="1"/>
    <col min="1793" max="1793" width="4.140625" customWidth="1"/>
    <col min="1794" max="1794" width="19.85546875" customWidth="1"/>
    <col min="1795" max="1795" width="23.42578125" customWidth="1"/>
    <col min="1796" max="1796" width="21.7109375" customWidth="1"/>
    <col min="1797" max="1797" width="16.7109375" customWidth="1"/>
    <col min="1798" max="1798" width="19.140625" customWidth="1"/>
    <col min="1799" max="1799" width="18.140625" customWidth="1"/>
    <col min="1800" max="1800" width="21" customWidth="1"/>
    <col min="1801" max="1801" width="14.42578125" customWidth="1"/>
    <col min="1802" max="1802" width="19.42578125" customWidth="1"/>
    <col min="1803" max="1803" width="15.7109375" customWidth="1"/>
    <col min="1807" max="1807" width="10.28515625" customWidth="1"/>
    <col min="1810" max="1810" width="14.7109375" customWidth="1"/>
    <col min="2049" max="2049" width="4.140625" customWidth="1"/>
    <col min="2050" max="2050" width="19.85546875" customWidth="1"/>
    <col min="2051" max="2051" width="23.42578125" customWidth="1"/>
    <col min="2052" max="2052" width="21.7109375" customWidth="1"/>
    <col min="2053" max="2053" width="16.7109375" customWidth="1"/>
    <col min="2054" max="2054" width="19.140625" customWidth="1"/>
    <col min="2055" max="2055" width="18.140625" customWidth="1"/>
    <col min="2056" max="2056" width="21" customWidth="1"/>
    <col min="2057" max="2057" width="14.42578125" customWidth="1"/>
    <col min="2058" max="2058" width="19.42578125" customWidth="1"/>
    <col min="2059" max="2059" width="15.7109375" customWidth="1"/>
    <col min="2063" max="2063" width="10.28515625" customWidth="1"/>
    <col min="2066" max="2066" width="14.7109375" customWidth="1"/>
    <col min="2305" max="2305" width="4.140625" customWidth="1"/>
    <col min="2306" max="2306" width="19.85546875" customWidth="1"/>
    <col min="2307" max="2307" width="23.42578125" customWidth="1"/>
    <col min="2308" max="2308" width="21.7109375" customWidth="1"/>
    <col min="2309" max="2309" width="16.7109375" customWidth="1"/>
    <col min="2310" max="2310" width="19.140625" customWidth="1"/>
    <col min="2311" max="2311" width="18.140625" customWidth="1"/>
    <col min="2312" max="2312" width="21" customWidth="1"/>
    <col min="2313" max="2313" width="14.42578125" customWidth="1"/>
    <col min="2314" max="2314" width="19.42578125" customWidth="1"/>
    <col min="2315" max="2315" width="15.7109375" customWidth="1"/>
    <col min="2319" max="2319" width="10.28515625" customWidth="1"/>
    <col min="2322" max="2322" width="14.7109375" customWidth="1"/>
    <col min="2561" max="2561" width="4.140625" customWidth="1"/>
    <col min="2562" max="2562" width="19.85546875" customWidth="1"/>
    <col min="2563" max="2563" width="23.42578125" customWidth="1"/>
    <col min="2564" max="2564" width="21.7109375" customWidth="1"/>
    <col min="2565" max="2565" width="16.7109375" customWidth="1"/>
    <col min="2566" max="2566" width="19.140625" customWidth="1"/>
    <col min="2567" max="2567" width="18.140625" customWidth="1"/>
    <col min="2568" max="2568" width="21" customWidth="1"/>
    <col min="2569" max="2569" width="14.42578125" customWidth="1"/>
    <col min="2570" max="2570" width="19.42578125" customWidth="1"/>
    <col min="2571" max="2571" width="15.7109375" customWidth="1"/>
    <col min="2575" max="2575" width="10.28515625" customWidth="1"/>
    <col min="2578" max="2578" width="14.7109375" customWidth="1"/>
    <col min="2817" max="2817" width="4.140625" customWidth="1"/>
    <col min="2818" max="2818" width="19.85546875" customWidth="1"/>
    <col min="2819" max="2819" width="23.42578125" customWidth="1"/>
    <col min="2820" max="2820" width="21.7109375" customWidth="1"/>
    <col min="2821" max="2821" width="16.7109375" customWidth="1"/>
    <col min="2822" max="2822" width="19.140625" customWidth="1"/>
    <col min="2823" max="2823" width="18.140625" customWidth="1"/>
    <col min="2824" max="2824" width="21" customWidth="1"/>
    <col min="2825" max="2825" width="14.42578125" customWidth="1"/>
    <col min="2826" max="2826" width="19.42578125" customWidth="1"/>
    <col min="2827" max="2827" width="15.7109375" customWidth="1"/>
    <col min="2831" max="2831" width="10.28515625" customWidth="1"/>
    <col min="2834" max="2834" width="14.7109375" customWidth="1"/>
    <col min="3073" max="3073" width="4.140625" customWidth="1"/>
    <col min="3074" max="3074" width="19.85546875" customWidth="1"/>
    <col min="3075" max="3075" width="23.42578125" customWidth="1"/>
    <col min="3076" max="3076" width="21.7109375" customWidth="1"/>
    <col min="3077" max="3077" width="16.7109375" customWidth="1"/>
    <col min="3078" max="3078" width="19.140625" customWidth="1"/>
    <col min="3079" max="3079" width="18.140625" customWidth="1"/>
    <col min="3080" max="3080" width="21" customWidth="1"/>
    <col min="3081" max="3081" width="14.42578125" customWidth="1"/>
    <col min="3082" max="3082" width="19.42578125" customWidth="1"/>
    <col min="3083" max="3083" width="15.7109375" customWidth="1"/>
    <col min="3087" max="3087" width="10.28515625" customWidth="1"/>
    <col min="3090" max="3090" width="14.7109375" customWidth="1"/>
    <col min="3329" max="3329" width="4.140625" customWidth="1"/>
    <col min="3330" max="3330" width="19.85546875" customWidth="1"/>
    <col min="3331" max="3331" width="23.42578125" customWidth="1"/>
    <col min="3332" max="3332" width="21.7109375" customWidth="1"/>
    <col min="3333" max="3333" width="16.7109375" customWidth="1"/>
    <col min="3334" max="3334" width="19.140625" customWidth="1"/>
    <col min="3335" max="3335" width="18.140625" customWidth="1"/>
    <col min="3336" max="3336" width="21" customWidth="1"/>
    <col min="3337" max="3337" width="14.42578125" customWidth="1"/>
    <col min="3338" max="3338" width="19.42578125" customWidth="1"/>
    <col min="3339" max="3339" width="15.7109375" customWidth="1"/>
    <col min="3343" max="3343" width="10.28515625" customWidth="1"/>
    <col min="3346" max="3346" width="14.7109375" customWidth="1"/>
    <col min="3585" max="3585" width="4.140625" customWidth="1"/>
    <col min="3586" max="3586" width="19.85546875" customWidth="1"/>
    <col min="3587" max="3587" width="23.42578125" customWidth="1"/>
    <col min="3588" max="3588" width="21.7109375" customWidth="1"/>
    <col min="3589" max="3589" width="16.7109375" customWidth="1"/>
    <col min="3590" max="3590" width="19.140625" customWidth="1"/>
    <col min="3591" max="3591" width="18.140625" customWidth="1"/>
    <col min="3592" max="3592" width="21" customWidth="1"/>
    <col min="3593" max="3593" width="14.42578125" customWidth="1"/>
    <col min="3594" max="3594" width="19.42578125" customWidth="1"/>
    <col min="3595" max="3595" width="15.7109375" customWidth="1"/>
    <col min="3599" max="3599" width="10.28515625" customWidth="1"/>
    <col min="3602" max="3602" width="14.7109375" customWidth="1"/>
    <col min="3841" max="3841" width="4.140625" customWidth="1"/>
    <col min="3842" max="3842" width="19.85546875" customWidth="1"/>
    <col min="3843" max="3843" width="23.42578125" customWidth="1"/>
    <col min="3844" max="3844" width="21.7109375" customWidth="1"/>
    <col min="3845" max="3845" width="16.7109375" customWidth="1"/>
    <col min="3846" max="3846" width="19.140625" customWidth="1"/>
    <col min="3847" max="3847" width="18.140625" customWidth="1"/>
    <col min="3848" max="3848" width="21" customWidth="1"/>
    <col min="3849" max="3849" width="14.42578125" customWidth="1"/>
    <col min="3850" max="3850" width="19.42578125" customWidth="1"/>
    <col min="3851" max="3851" width="15.7109375" customWidth="1"/>
    <col min="3855" max="3855" width="10.28515625" customWidth="1"/>
    <col min="3858" max="3858" width="14.7109375" customWidth="1"/>
    <col min="4097" max="4097" width="4.140625" customWidth="1"/>
    <col min="4098" max="4098" width="19.85546875" customWidth="1"/>
    <col min="4099" max="4099" width="23.42578125" customWidth="1"/>
    <col min="4100" max="4100" width="21.7109375" customWidth="1"/>
    <col min="4101" max="4101" width="16.7109375" customWidth="1"/>
    <col min="4102" max="4102" width="19.140625" customWidth="1"/>
    <col min="4103" max="4103" width="18.140625" customWidth="1"/>
    <col min="4104" max="4104" width="21" customWidth="1"/>
    <col min="4105" max="4105" width="14.42578125" customWidth="1"/>
    <col min="4106" max="4106" width="19.42578125" customWidth="1"/>
    <col min="4107" max="4107" width="15.7109375" customWidth="1"/>
    <col min="4111" max="4111" width="10.28515625" customWidth="1"/>
    <col min="4114" max="4114" width="14.7109375" customWidth="1"/>
    <col min="4353" max="4353" width="4.140625" customWidth="1"/>
    <col min="4354" max="4354" width="19.85546875" customWidth="1"/>
    <col min="4355" max="4355" width="23.42578125" customWidth="1"/>
    <col min="4356" max="4356" width="21.7109375" customWidth="1"/>
    <col min="4357" max="4357" width="16.7109375" customWidth="1"/>
    <col min="4358" max="4358" width="19.140625" customWidth="1"/>
    <col min="4359" max="4359" width="18.140625" customWidth="1"/>
    <col min="4360" max="4360" width="21" customWidth="1"/>
    <col min="4361" max="4361" width="14.42578125" customWidth="1"/>
    <col min="4362" max="4362" width="19.42578125" customWidth="1"/>
    <col min="4363" max="4363" width="15.7109375" customWidth="1"/>
    <col min="4367" max="4367" width="10.28515625" customWidth="1"/>
    <col min="4370" max="4370" width="14.7109375" customWidth="1"/>
    <col min="4609" max="4609" width="4.140625" customWidth="1"/>
    <col min="4610" max="4610" width="19.85546875" customWidth="1"/>
    <col min="4611" max="4611" width="23.42578125" customWidth="1"/>
    <col min="4612" max="4612" width="21.7109375" customWidth="1"/>
    <col min="4613" max="4613" width="16.7109375" customWidth="1"/>
    <col min="4614" max="4614" width="19.140625" customWidth="1"/>
    <col min="4615" max="4615" width="18.140625" customWidth="1"/>
    <col min="4616" max="4616" width="21" customWidth="1"/>
    <col min="4617" max="4617" width="14.42578125" customWidth="1"/>
    <col min="4618" max="4618" width="19.42578125" customWidth="1"/>
    <col min="4619" max="4619" width="15.7109375" customWidth="1"/>
    <col min="4623" max="4623" width="10.28515625" customWidth="1"/>
    <col min="4626" max="4626" width="14.7109375" customWidth="1"/>
    <col min="4865" max="4865" width="4.140625" customWidth="1"/>
    <col min="4866" max="4866" width="19.85546875" customWidth="1"/>
    <col min="4867" max="4867" width="23.42578125" customWidth="1"/>
    <col min="4868" max="4868" width="21.7109375" customWidth="1"/>
    <col min="4869" max="4869" width="16.7109375" customWidth="1"/>
    <col min="4870" max="4870" width="19.140625" customWidth="1"/>
    <col min="4871" max="4871" width="18.140625" customWidth="1"/>
    <col min="4872" max="4872" width="21" customWidth="1"/>
    <col min="4873" max="4873" width="14.42578125" customWidth="1"/>
    <col min="4874" max="4874" width="19.42578125" customWidth="1"/>
    <col min="4875" max="4875" width="15.7109375" customWidth="1"/>
    <col min="4879" max="4879" width="10.28515625" customWidth="1"/>
    <col min="4882" max="4882" width="14.7109375" customWidth="1"/>
    <col min="5121" max="5121" width="4.140625" customWidth="1"/>
    <col min="5122" max="5122" width="19.85546875" customWidth="1"/>
    <col min="5123" max="5123" width="23.42578125" customWidth="1"/>
    <col min="5124" max="5124" width="21.7109375" customWidth="1"/>
    <col min="5125" max="5125" width="16.7109375" customWidth="1"/>
    <col min="5126" max="5126" width="19.140625" customWidth="1"/>
    <col min="5127" max="5127" width="18.140625" customWidth="1"/>
    <col min="5128" max="5128" width="21" customWidth="1"/>
    <col min="5129" max="5129" width="14.42578125" customWidth="1"/>
    <col min="5130" max="5130" width="19.42578125" customWidth="1"/>
    <col min="5131" max="5131" width="15.7109375" customWidth="1"/>
    <col min="5135" max="5135" width="10.28515625" customWidth="1"/>
    <col min="5138" max="5138" width="14.7109375" customWidth="1"/>
    <col min="5377" max="5377" width="4.140625" customWidth="1"/>
    <col min="5378" max="5378" width="19.85546875" customWidth="1"/>
    <col min="5379" max="5379" width="23.42578125" customWidth="1"/>
    <col min="5380" max="5380" width="21.7109375" customWidth="1"/>
    <col min="5381" max="5381" width="16.7109375" customWidth="1"/>
    <col min="5382" max="5382" width="19.140625" customWidth="1"/>
    <col min="5383" max="5383" width="18.140625" customWidth="1"/>
    <col min="5384" max="5384" width="21" customWidth="1"/>
    <col min="5385" max="5385" width="14.42578125" customWidth="1"/>
    <col min="5386" max="5386" width="19.42578125" customWidth="1"/>
    <col min="5387" max="5387" width="15.7109375" customWidth="1"/>
    <col min="5391" max="5391" width="10.28515625" customWidth="1"/>
    <col min="5394" max="5394" width="14.7109375" customWidth="1"/>
    <col min="5633" max="5633" width="4.140625" customWidth="1"/>
    <col min="5634" max="5634" width="19.85546875" customWidth="1"/>
    <col min="5635" max="5635" width="23.42578125" customWidth="1"/>
    <col min="5636" max="5636" width="21.7109375" customWidth="1"/>
    <col min="5637" max="5637" width="16.7109375" customWidth="1"/>
    <col min="5638" max="5638" width="19.140625" customWidth="1"/>
    <col min="5639" max="5639" width="18.140625" customWidth="1"/>
    <col min="5640" max="5640" width="21" customWidth="1"/>
    <col min="5641" max="5641" width="14.42578125" customWidth="1"/>
    <col min="5642" max="5642" width="19.42578125" customWidth="1"/>
    <col min="5643" max="5643" width="15.7109375" customWidth="1"/>
    <col min="5647" max="5647" width="10.28515625" customWidth="1"/>
    <col min="5650" max="5650" width="14.7109375" customWidth="1"/>
    <col min="5889" max="5889" width="4.140625" customWidth="1"/>
    <col min="5890" max="5890" width="19.85546875" customWidth="1"/>
    <col min="5891" max="5891" width="23.42578125" customWidth="1"/>
    <col min="5892" max="5892" width="21.7109375" customWidth="1"/>
    <col min="5893" max="5893" width="16.7109375" customWidth="1"/>
    <col min="5894" max="5894" width="19.140625" customWidth="1"/>
    <col min="5895" max="5895" width="18.140625" customWidth="1"/>
    <col min="5896" max="5896" width="21" customWidth="1"/>
    <col min="5897" max="5897" width="14.42578125" customWidth="1"/>
    <col min="5898" max="5898" width="19.42578125" customWidth="1"/>
    <col min="5899" max="5899" width="15.7109375" customWidth="1"/>
    <col min="5903" max="5903" width="10.28515625" customWidth="1"/>
    <col min="5906" max="5906" width="14.7109375" customWidth="1"/>
    <col min="6145" max="6145" width="4.140625" customWidth="1"/>
    <col min="6146" max="6146" width="19.85546875" customWidth="1"/>
    <col min="6147" max="6147" width="23.42578125" customWidth="1"/>
    <col min="6148" max="6148" width="21.7109375" customWidth="1"/>
    <col min="6149" max="6149" width="16.7109375" customWidth="1"/>
    <col min="6150" max="6150" width="19.140625" customWidth="1"/>
    <col min="6151" max="6151" width="18.140625" customWidth="1"/>
    <col min="6152" max="6152" width="21" customWidth="1"/>
    <col min="6153" max="6153" width="14.42578125" customWidth="1"/>
    <col min="6154" max="6154" width="19.42578125" customWidth="1"/>
    <col min="6155" max="6155" width="15.7109375" customWidth="1"/>
    <col min="6159" max="6159" width="10.28515625" customWidth="1"/>
    <col min="6162" max="6162" width="14.7109375" customWidth="1"/>
    <col min="6401" max="6401" width="4.140625" customWidth="1"/>
    <col min="6402" max="6402" width="19.85546875" customWidth="1"/>
    <col min="6403" max="6403" width="23.42578125" customWidth="1"/>
    <col min="6404" max="6404" width="21.7109375" customWidth="1"/>
    <col min="6405" max="6405" width="16.7109375" customWidth="1"/>
    <col min="6406" max="6406" width="19.140625" customWidth="1"/>
    <col min="6407" max="6407" width="18.140625" customWidth="1"/>
    <col min="6408" max="6408" width="21" customWidth="1"/>
    <col min="6409" max="6409" width="14.42578125" customWidth="1"/>
    <col min="6410" max="6410" width="19.42578125" customWidth="1"/>
    <col min="6411" max="6411" width="15.7109375" customWidth="1"/>
    <col min="6415" max="6415" width="10.28515625" customWidth="1"/>
    <col min="6418" max="6418" width="14.7109375" customWidth="1"/>
    <col min="6657" max="6657" width="4.140625" customWidth="1"/>
    <col min="6658" max="6658" width="19.85546875" customWidth="1"/>
    <col min="6659" max="6659" width="23.42578125" customWidth="1"/>
    <col min="6660" max="6660" width="21.7109375" customWidth="1"/>
    <col min="6661" max="6661" width="16.7109375" customWidth="1"/>
    <col min="6662" max="6662" width="19.140625" customWidth="1"/>
    <col min="6663" max="6663" width="18.140625" customWidth="1"/>
    <col min="6664" max="6664" width="21" customWidth="1"/>
    <col min="6665" max="6665" width="14.42578125" customWidth="1"/>
    <col min="6666" max="6666" width="19.42578125" customWidth="1"/>
    <col min="6667" max="6667" width="15.7109375" customWidth="1"/>
    <col min="6671" max="6671" width="10.28515625" customWidth="1"/>
    <col min="6674" max="6674" width="14.7109375" customWidth="1"/>
    <col min="6913" max="6913" width="4.140625" customWidth="1"/>
    <col min="6914" max="6914" width="19.85546875" customWidth="1"/>
    <col min="6915" max="6915" width="23.42578125" customWidth="1"/>
    <col min="6916" max="6916" width="21.7109375" customWidth="1"/>
    <col min="6917" max="6917" width="16.7109375" customWidth="1"/>
    <col min="6918" max="6918" width="19.140625" customWidth="1"/>
    <col min="6919" max="6919" width="18.140625" customWidth="1"/>
    <col min="6920" max="6920" width="21" customWidth="1"/>
    <col min="6921" max="6921" width="14.42578125" customWidth="1"/>
    <col min="6922" max="6922" width="19.42578125" customWidth="1"/>
    <col min="6923" max="6923" width="15.7109375" customWidth="1"/>
    <col min="6927" max="6927" width="10.28515625" customWidth="1"/>
    <col min="6930" max="6930" width="14.7109375" customWidth="1"/>
    <col min="7169" max="7169" width="4.140625" customWidth="1"/>
    <col min="7170" max="7170" width="19.85546875" customWidth="1"/>
    <col min="7171" max="7171" width="23.42578125" customWidth="1"/>
    <col min="7172" max="7172" width="21.7109375" customWidth="1"/>
    <col min="7173" max="7173" width="16.7109375" customWidth="1"/>
    <col min="7174" max="7174" width="19.140625" customWidth="1"/>
    <col min="7175" max="7175" width="18.140625" customWidth="1"/>
    <col min="7176" max="7176" width="21" customWidth="1"/>
    <col min="7177" max="7177" width="14.42578125" customWidth="1"/>
    <col min="7178" max="7178" width="19.42578125" customWidth="1"/>
    <col min="7179" max="7179" width="15.7109375" customWidth="1"/>
    <col min="7183" max="7183" width="10.28515625" customWidth="1"/>
    <col min="7186" max="7186" width="14.7109375" customWidth="1"/>
    <col min="7425" max="7425" width="4.140625" customWidth="1"/>
    <col min="7426" max="7426" width="19.85546875" customWidth="1"/>
    <col min="7427" max="7427" width="23.42578125" customWidth="1"/>
    <col min="7428" max="7428" width="21.7109375" customWidth="1"/>
    <col min="7429" max="7429" width="16.7109375" customWidth="1"/>
    <col min="7430" max="7430" width="19.140625" customWidth="1"/>
    <col min="7431" max="7431" width="18.140625" customWidth="1"/>
    <col min="7432" max="7432" width="21" customWidth="1"/>
    <col min="7433" max="7433" width="14.42578125" customWidth="1"/>
    <col min="7434" max="7434" width="19.42578125" customWidth="1"/>
    <col min="7435" max="7435" width="15.7109375" customWidth="1"/>
    <col min="7439" max="7439" width="10.28515625" customWidth="1"/>
    <col min="7442" max="7442" width="14.7109375" customWidth="1"/>
    <col min="7681" max="7681" width="4.140625" customWidth="1"/>
    <col min="7682" max="7682" width="19.85546875" customWidth="1"/>
    <col min="7683" max="7683" width="23.42578125" customWidth="1"/>
    <col min="7684" max="7684" width="21.7109375" customWidth="1"/>
    <col min="7685" max="7685" width="16.7109375" customWidth="1"/>
    <col min="7686" max="7686" width="19.140625" customWidth="1"/>
    <col min="7687" max="7687" width="18.140625" customWidth="1"/>
    <col min="7688" max="7688" width="21" customWidth="1"/>
    <col min="7689" max="7689" width="14.42578125" customWidth="1"/>
    <col min="7690" max="7690" width="19.42578125" customWidth="1"/>
    <col min="7691" max="7691" width="15.7109375" customWidth="1"/>
    <col min="7695" max="7695" width="10.28515625" customWidth="1"/>
    <col min="7698" max="7698" width="14.7109375" customWidth="1"/>
    <col min="7937" max="7937" width="4.140625" customWidth="1"/>
    <col min="7938" max="7938" width="19.85546875" customWidth="1"/>
    <col min="7939" max="7939" width="23.42578125" customWidth="1"/>
    <col min="7940" max="7940" width="21.7109375" customWidth="1"/>
    <col min="7941" max="7941" width="16.7109375" customWidth="1"/>
    <col min="7942" max="7942" width="19.140625" customWidth="1"/>
    <col min="7943" max="7943" width="18.140625" customWidth="1"/>
    <col min="7944" max="7944" width="21" customWidth="1"/>
    <col min="7945" max="7945" width="14.42578125" customWidth="1"/>
    <col min="7946" max="7946" width="19.42578125" customWidth="1"/>
    <col min="7947" max="7947" width="15.7109375" customWidth="1"/>
    <col min="7951" max="7951" width="10.28515625" customWidth="1"/>
    <col min="7954" max="7954" width="14.7109375" customWidth="1"/>
    <col min="8193" max="8193" width="4.140625" customWidth="1"/>
    <col min="8194" max="8194" width="19.85546875" customWidth="1"/>
    <col min="8195" max="8195" width="23.42578125" customWidth="1"/>
    <col min="8196" max="8196" width="21.7109375" customWidth="1"/>
    <col min="8197" max="8197" width="16.7109375" customWidth="1"/>
    <col min="8198" max="8198" width="19.140625" customWidth="1"/>
    <col min="8199" max="8199" width="18.140625" customWidth="1"/>
    <col min="8200" max="8200" width="21" customWidth="1"/>
    <col min="8201" max="8201" width="14.42578125" customWidth="1"/>
    <col min="8202" max="8202" width="19.42578125" customWidth="1"/>
    <col min="8203" max="8203" width="15.7109375" customWidth="1"/>
    <col min="8207" max="8207" width="10.28515625" customWidth="1"/>
    <col min="8210" max="8210" width="14.7109375" customWidth="1"/>
    <col min="8449" max="8449" width="4.140625" customWidth="1"/>
    <col min="8450" max="8450" width="19.85546875" customWidth="1"/>
    <col min="8451" max="8451" width="23.42578125" customWidth="1"/>
    <col min="8452" max="8452" width="21.7109375" customWidth="1"/>
    <col min="8453" max="8453" width="16.7109375" customWidth="1"/>
    <col min="8454" max="8454" width="19.140625" customWidth="1"/>
    <col min="8455" max="8455" width="18.140625" customWidth="1"/>
    <col min="8456" max="8456" width="21" customWidth="1"/>
    <col min="8457" max="8457" width="14.42578125" customWidth="1"/>
    <col min="8458" max="8458" width="19.42578125" customWidth="1"/>
    <col min="8459" max="8459" width="15.7109375" customWidth="1"/>
    <col min="8463" max="8463" width="10.28515625" customWidth="1"/>
    <col min="8466" max="8466" width="14.7109375" customWidth="1"/>
    <col min="8705" max="8705" width="4.140625" customWidth="1"/>
    <col min="8706" max="8706" width="19.85546875" customWidth="1"/>
    <col min="8707" max="8707" width="23.42578125" customWidth="1"/>
    <col min="8708" max="8708" width="21.7109375" customWidth="1"/>
    <col min="8709" max="8709" width="16.7109375" customWidth="1"/>
    <col min="8710" max="8710" width="19.140625" customWidth="1"/>
    <col min="8711" max="8711" width="18.140625" customWidth="1"/>
    <col min="8712" max="8712" width="21" customWidth="1"/>
    <col min="8713" max="8713" width="14.42578125" customWidth="1"/>
    <col min="8714" max="8714" width="19.42578125" customWidth="1"/>
    <col min="8715" max="8715" width="15.7109375" customWidth="1"/>
    <col min="8719" max="8719" width="10.28515625" customWidth="1"/>
    <col min="8722" max="8722" width="14.7109375" customWidth="1"/>
    <col min="8961" max="8961" width="4.140625" customWidth="1"/>
    <col min="8962" max="8962" width="19.85546875" customWidth="1"/>
    <col min="8963" max="8963" width="23.42578125" customWidth="1"/>
    <col min="8964" max="8964" width="21.7109375" customWidth="1"/>
    <col min="8965" max="8965" width="16.7109375" customWidth="1"/>
    <col min="8966" max="8966" width="19.140625" customWidth="1"/>
    <col min="8967" max="8967" width="18.140625" customWidth="1"/>
    <col min="8968" max="8968" width="21" customWidth="1"/>
    <col min="8969" max="8969" width="14.42578125" customWidth="1"/>
    <col min="8970" max="8970" width="19.42578125" customWidth="1"/>
    <col min="8971" max="8971" width="15.7109375" customWidth="1"/>
    <col min="8975" max="8975" width="10.28515625" customWidth="1"/>
    <col min="8978" max="8978" width="14.7109375" customWidth="1"/>
    <col min="9217" max="9217" width="4.140625" customWidth="1"/>
    <col min="9218" max="9218" width="19.85546875" customWidth="1"/>
    <col min="9219" max="9219" width="23.42578125" customWidth="1"/>
    <col min="9220" max="9220" width="21.7109375" customWidth="1"/>
    <col min="9221" max="9221" width="16.7109375" customWidth="1"/>
    <col min="9222" max="9222" width="19.140625" customWidth="1"/>
    <col min="9223" max="9223" width="18.140625" customWidth="1"/>
    <col min="9224" max="9224" width="21" customWidth="1"/>
    <col min="9225" max="9225" width="14.42578125" customWidth="1"/>
    <col min="9226" max="9226" width="19.42578125" customWidth="1"/>
    <col min="9227" max="9227" width="15.7109375" customWidth="1"/>
    <col min="9231" max="9231" width="10.28515625" customWidth="1"/>
    <col min="9234" max="9234" width="14.7109375" customWidth="1"/>
    <col min="9473" max="9473" width="4.140625" customWidth="1"/>
    <col min="9474" max="9474" width="19.85546875" customWidth="1"/>
    <col min="9475" max="9475" width="23.42578125" customWidth="1"/>
    <col min="9476" max="9476" width="21.7109375" customWidth="1"/>
    <col min="9477" max="9477" width="16.7109375" customWidth="1"/>
    <col min="9478" max="9478" width="19.140625" customWidth="1"/>
    <col min="9479" max="9479" width="18.140625" customWidth="1"/>
    <col min="9480" max="9480" width="21" customWidth="1"/>
    <col min="9481" max="9481" width="14.42578125" customWidth="1"/>
    <col min="9482" max="9482" width="19.42578125" customWidth="1"/>
    <col min="9483" max="9483" width="15.7109375" customWidth="1"/>
    <col min="9487" max="9487" width="10.28515625" customWidth="1"/>
    <col min="9490" max="9490" width="14.7109375" customWidth="1"/>
    <col min="9729" max="9729" width="4.140625" customWidth="1"/>
    <col min="9730" max="9730" width="19.85546875" customWidth="1"/>
    <col min="9731" max="9731" width="23.42578125" customWidth="1"/>
    <col min="9732" max="9732" width="21.7109375" customWidth="1"/>
    <col min="9733" max="9733" width="16.7109375" customWidth="1"/>
    <col min="9734" max="9734" width="19.140625" customWidth="1"/>
    <col min="9735" max="9735" width="18.140625" customWidth="1"/>
    <col min="9736" max="9736" width="21" customWidth="1"/>
    <col min="9737" max="9737" width="14.42578125" customWidth="1"/>
    <col min="9738" max="9738" width="19.42578125" customWidth="1"/>
    <col min="9739" max="9739" width="15.7109375" customWidth="1"/>
    <col min="9743" max="9743" width="10.28515625" customWidth="1"/>
    <col min="9746" max="9746" width="14.7109375" customWidth="1"/>
    <col min="9985" max="9985" width="4.140625" customWidth="1"/>
    <col min="9986" max="9986" width="19.85546875" customWidth="1"/>
    <col min="9987" max="9987" width="23.42578125" customWidth="1"/>
    <col min="9988" max="9988" width="21.7109375" customWidth="1"/>
    <col min="9989" max="9989" width="16.7109375" customWidth="1"/>
    <col min="9990" max="9990" width="19.140625" customWidth="1"/>
    <col min="9991" max="9991" width="18.140625" customWidth="1"/>
    <col min="9992" max="9992" width="21" customWidth="1"/>
    <col min="9993" max="9993" width="14.42578125" customWidth="1"/>
    <col min="9994" max="9994" width="19.42578125" customWidth="1"/>
    <col min="9995" max="9995" width="15.7109375" customWidth="1"/>
    <col min="9999" max="9999" width="10.28515625" customWidth="1"/>
    <col min="10002" max="10002" width="14.7109375" customWidth="1"/>
    <col min="10241" max="10241" width="4.140625" customWidth="1"/>
    <col min="10242" max="10242" width="19.85546875" customWidth="1"/>
    <col min="10243" max="10243" width="23.42578125" customWidth="1"/>
    <col min="10244" max="10244" width="21.7109375" customWidth="1"/>
    <col min="10245" max="10245" width="16.7109375" customWidth="1"/>
    <col min="10246" max="10246" width="19.140625" customWidth="1"/>
    <col min="10247" max="10247" width="18.140625" customWidth="1"/>
    <col min="10248" max="10248" width="21" customWidth="1"/>
    <col min="10249" max="10249" width="14.42578125" customWidth="1"/>
    <col min="10250" max="10250" width="19.42578125" customWidth="1"/>
    <col min="10251" max="10251" width="15.7109375" customWidth="1"/>
    <col min="10255" max="10255" width="10.28515625" customWidth="1"/>
    <col min="10258" max="10258" width="14.7109375" customWidth="1"/>
    <col min="10497" max="10497" width="4.140625" customWidth="1"/>
    <col min="10498" max="10498" width="19.85546875" customWidth="1"/>
    <col min="10499" max="10499" width="23.42578125" customWidth="1"/>
    <col min="10500" max="10500" width="21.7109375" customWidth="1"/>
    <col min="10501" max="10501" width="16.7109375" customWidth="1"/>
    <col min="10502" max="10502" width="19.140625" customWidth="1"/>
    <col min="10503" max="10503" width="18.140625" customWidth="1"/>
    <col min="10504" max="10504" width="21" customWidth="1"/>
    <col min="10505" max="10505" width="14.42578125" customWidth="1"/>
    <col min="10506" max="10506" width="19.42578125" customWidth="1"/>
    <col min="10507" max="10507" width="15.7109375" customWidth="1"/>
    <col min="10511" max="10511" width="10.28515625" customWidth="1"/>
    <col min="10514" max="10514" width="14.7109375" customWidth="1"/>
    <col min="10753" max="10753" width="4.140625" customWidth="1"/>
    <col min="10754" max="10754" width="19.85546875" customWidth="1"/>
    <col min="10755" max="10755" width="23.42578125" customWidth="1"/>
    <col min="10756" max="10756" width="21.7109375" customWidth="1"/>
    <col min="10757" max="10757" width="16.7109375" customWidth="1"/>
    <col min="10758" max="10758" width="19.140625" customWidth="1"/>
    <col min="10759" max="10759" width="18.140625" customWidth="1"/>
    <col min="10760" max="10760" width="21" customWidth="1"/>
    <col min="10761" max="10761" width="14.42578125" customWidth="1"/>
    <col min="10762" max="10762" width="19.42578125" customWidth="1"/>
    <col min="10763" max="10763" width="15.7109375" customWidth="1"/>
    <col min="10767" max="10767" width="10.28515625" customWidth="1"/>
    <col min="10770" max="10770" width="14.7109375" customWidth="1"/>
    <col min="11009" max="11009" width="4.140625" customWidth="1"/>
    <col min="11010" max="11010" width="19.85546875" customWidth="1"/>
    <col min="11011" max="11011" width="23.42578125" customWidth="1"/>
    <col min="11012" max="11012" width="21.7109375" customWidth="1"/>
    <col min="11013" max="11013" width="16.7109375" customWidth="1"/>
    <col min="11014" max="11014" width="19.140625" customWidth="1"/>
    <col min="11015" max="11015" width="18.140625" customWidth="1"/>
    <col min="11016" max="11016" width="21" customWidth="1"/>
    <col min="11017" max="11017" width="14.42578125" customWidth="1"/>
    <col min="11018" max="11018" width="19.42578125" customWidth="1"/>
    <col min="11019" max="11019" width="15.7109375" customWidth="1"/>
    <col min="11023" max="11023" width="10.28515625" customWidth="1"/>
    <col min="11026" max="11026" width="14.7109375" customWidth="1"/>
    <col min="11265" max="11265" width="4.140625" customWidth="1"/>
    <col min="11266" max="11266" width="19.85546875" customWidth="1"/>
    <col min="11267" max="11267" width="23.42578125" customWidth="1"/>
    <col min="11268" max="11268" width="21.7109375" customWidth="1"/>
    <col min="11269" max="11269" width="16.7109375" customWidth="1"/>
    <col min="11270" max="11270" width="19.140625" customWidth="1"/>
    <col min="11271" max="11271" width="18.140625" customWidth="1"/>
    <col min="11272" max="11272" width="21" customWidth="1"/>
    <col min="11273" max="11273" width="14.42578125" customWidth="1"/>
    <col min="11274" max="11274" width="19.42578125" customWidth="1"/>
    <col min="11275" max="11275" width="15.7109375" customWidth="1"/>
    <col min="11279" max="11279" width="10.28515625" customWidth="1"/>
    <col min="11282" max="11282" width="14.7109375" customWidth="1"/>
    <col min="11521" max="11521" width="4.140625" customWidth="1"/>
    <col min="11522" max="11522" width="19.85546875" customWidth="1"/>
    <col min="11523" max="11523" width="23.42578125" customWidth="1"/>
    <col min="11524" max="11524" width="21.7109375" customWidth="1"/>
    <col min="11525" max="11525" width="16.7109375" customWidth="1"/>
    <col min="11526" max="11526" width="19.140625" customWidth="1"/>
    <col min="11527" max="11527" width="18.140625" customWidth="1"/>
    <col min="11528" max="11528" width="21" customWidth="1"/>
    <col min="11529" max="11529" width="14.42578125" customWidth="1"/>
    <col min="11530" max="11530" width="19.42578125" customWidth="1"/>
    <col min="11531" max="11531" width="15.7109375" customWidth="1"/>
    <col min="11535" max="11535" width="10.28515625" customWidth="1"/>
    <col min="11538" max="11538" width="14.7109375" customWidth="1"/>
    <col min="11777" max="11777" width="4.140625" customWidth="1"/>
    <col min="11778" max="11778" width="19.85546875" customWidth="1"/>
    <col min="11779" max="11779" width="23.42578125" customWidth="1"/>
    <col min="11780" max="11780" width="21.7109375" customWidth="1"/>
    <col min="11781" max="11781" width="16.7109375" customWidth="1"/>
    <col min="11782" max="11782" width="19.140625" customWidth="1"/>
    <col min="11783" max="11783" width="18.140625" customWidth="1"/>
    <col min="11784" max="11784" width="21" customWidth="1"/>
    <col min="11785" max="11785" width="14.42578125" customWidth="1"/>
    <col min="11786" max="11786" width="19.42578125" customWidth="1"/>
    <col min="11787" max="11787" width="15.7109375" customWidth="1"/>
    <col min="11791" max="11791" width="10.28515625" customWidth="1"/>
    <col min="11794" max="11794" width="14.7109375" customWidth="1"/>
    <col min="12033" max="12033" width="4.140625" customWidth="1"/>
    <col min="12034" max="12034" width="19.85546875" customWidth="1"/>
    <col min="12035" max="12035" width="23.42578125" customWidth="1"/>
    <col min="12036" max="12036" width="21.7109375" customWidth="1"/>
    <col min="12037" max="12037" width="16.7109375" customWidth="1"/>
    <col min="12038" max="12038" width="19.140625" customWidth="1"/>
    <col min="12039" max="12039" width="18.140625" customWidth="1"/>
    <col min="12040" max="12040" width="21" customWidth="1"/>
    <col min="12041" max="12041" width="14.42578125" customWidth="1"/>
    <col min="12042" max="12042" width="19.42578125" customWidth="1"/>
    <col min="12043" max="12043" width="15.7109375" customWidth="1"/>
    <col min="12047" max="12047" width="10.28515625" customWidth="1"/>
    <col min="12050" max="12050" width="14.7109375" customWidth="1"/>
    <col min="12289" max="12289" width="4.140625" customWidth="1"/>
    <col min="12290" max="12290" width="19.85546875" customWidth="1"/>
    <col min="12291" max="12291" width="23.42578125" customWidth="1"/>
    <col min="12292" max="12292" width="21.7109375" customWidth="1"/>
    <col min="12293" max="12293" width="16.7109375" customWidth="1"/>
    <col min="12294" max="12294" width="19.140625" customWidth="1"/>
    <col min="12295" max="12295" width="18.140625" customWidth="1"/>
    <col min="12296" max="12296" width="21" customWidth="1"/>
    <col min="12297" max="12297" width="14.42578125" customWidth="1"/>
    <col min="12298" max="12298" width="19.42578125" customWidth="1"/>
    <col min="12299" max="12299" width="15.7109375" customWidth="1"/>
    <col min="12303" max="12303" width="10.28515625" customWidth="1"/>
    <col min="12306" max="12306" width="14.7109375" customWidth="1"/>
    <col min="12545" max="12545" width="4.140625" customWidth="1"/>
    <col min="12546" max="12546" width="19.85546875" customWidth="1"/>
    <col min="12547" max="12547" width="23.42578125" customWidth="1"/>
    <col min="12548" max="12548" width="21.7109375" customWidth="1"/>
    <col min="12549" max="12549" width="16.7109375" customWidth="1"/>
    <col min="12550" max="12550" width="19.140625" customWidth="1"/>
    <col min="12551" max="12551" width="18.140625" customWidth="1"/>
    <col min="12552" max="12552" width="21" customWidth="1"/>
    <col min="12553" max="12553" width="14.42578125" customWidth="1"/>
    <col min="12554" max="12554" width="19.42578125" customWidth="1"/>
    <col min="12555" max="12555" width="15.7109375" customWidth="1"/>
    <col min="12559" max="12559" width="10.28515625" customWidth="1"/>
    <col min="12562" max="12562" width="14.7109375" customWidth="1"/>
    <col min="12801" max="12801" width="4.140625" customWidth="1"/>
    <col min="12802" max="12802" width="19.85546875" customWidth="1"/>
    <col min="12803" max="12803" width="23.42578125" customWidth="1"/>
    <col min="12804" max="12804" width="21.7109375" customWidth="1"/>
    <col min="12805" max="12805" width="16.7109375" customWidth="1"/>
    <col min="12806" max="12806" width="19.140625" customWidth="1"/>
    <col min="12807" max="12807" width="18.140625" customWidth="1"/>
    <col min="12808" max="12808" width="21" customWidth="1"/>
    <col min="12809" max="12809" width="14.42578125" customWidth="1"/>
    <col min="12810" max="12810" width="19.42578125" customWidth="1"/>
    <col min="12811" max="12811" width="15.7109375" customWidth="1"/>
    <col min="12815" max="12815" width="10.28515625" customWidth="1"/>
    <col min="12818" max="12818" width="14.7109375" customWidth="1"/>
    <col min="13057" max="13057" width="4.140625" customWidth="1"/>
    <col min="13058" max="13058" width="19.85546875" customWidth="1"/>
    <col min="13059" max="13059" width="23.42578125" customWidth="1"/>
    <col min="13060" max="13060" width="21.7109375" customWidth="1"/>
    <col min="13061" max="13061" width="16.7109375" customWidth="1"/>
    <col min="13062" max="13062" width="19.140625" customWidth="1"/>
    <col min="13063" max="13063" width="18.140625" customWidth="1"/>
    <col min="13064" max="13064" width="21" customWidth="1"/>
    <col min="13065" max="13065" width="14.42578125" customWidth="1"/>
    <col min="13066" max="13066" width="19.42578125" customWidth="1"/>
    <col min="13067" max="13067" width="15.7109375" customWidth="1"/>
    <col min="13071" max="13071" width="10.28515625" customWidth="1"/>
    <col min="13074" max="13074" width="14.7109375" customWidth="1"/>
    <col min="13313" max="13313" width="4.140625" customWidth="1"/>
    <col min="13314" max="13314" width="19.85546875" customWidth="1"/>
    <col min="13315" max="13315" width="23.42578125" customWidth="1"/>
    <col min="13316" max="13316" width="21.7109375" customWidth="1"/>
    <col min="13317" max="13317" width="16.7109375" customWidth="1"/>
    <col min="13318" max="13318" width="19.140625" customWidth="1"/>
    <col min="13319" max="13319" width="18.140625" customWidth="1"/>
    <col min="13320" max="13320" width="21" customWidth="1"/>
    <col min="13321" max="13321" width="14.42578125" customWidth="1"/>
    <col min="13322" max="13322" width="19.42578125" customWidth="1"/>
    <col min="13323" max="13323" width="15.7109375" customWidth="1"/>
    <col min="13327" max="13327" width="10.28515625" customWidth="1"/>
    <col min="13330" max="13330" width="14.7109375" customWidth="1"/>
    <col min="13569" max="13569" width="4.140625" customWidth="1"/>
    <col min="13570" max="13570" width="19.85546875" customWidth="1"/>
    <col min="13571" max="13571" width="23.42578125" customWidth="1"/>
    <col min="13572" max="13572" width="21.7109375" customWidth="1"/>
    <col min="13573" max="13573" width="16.7109375" customWidth="1"/>
    <col min="13574" max="13574" width="19.140625" customWidth="1"/>
    <col min="13575" max="13575" width="18.140625" customWidth="1"/>
    <col min="13576" max="13576" width="21" customWidth="1"/>
    <col min="13577" max="13577" width="14.42578125" customWidth="1"/>
    <col min="13578" max="13578" width="19.42578125" customWidth="1"/>
    <col min="13579" max="13579" width="15.7109375" customWidth="1"/>
    <col min="13583" max="13583" width="10.28515625" customWidth="1"/>
    <col min="13586" max="13586" width="14.7109375" customWidth="1"/>
    <col min="13825" max="13825" width="4.140625" customWidth="1"/>
    <col min="13826" max="13826" width="19.85546875" customWidth="1"/>
    <col min="13827" max="13827" width="23.42578125" customWidth="1"/>
    <col min="13828" max="13828" width="21.7109375" customWidth="1"/>
    <col min="13829" max="13829" width="16.7109375" customWidth="1"/>
    <col min="13830" max="13830" width="19.140625" customWidth="1"/>
    <col min="13831" max="13831" width="18.140625" customWidth="1"/>
    <col min="13832" max="13832" width="21" customWidth="1"/>
    <col min="13833" max="13833" width="14.42578125" customWidth="1"/>
    <col min="13834" max="13834" width="19.42578125" customWidth="1"/>
    <col min="13835" max="13835" width="15.7109375" customWidth="1"/>
    <col min="13839" max="13839" width="10.28515625" customWidth="1"/>
    <col min="13842" max="13842" width="14.7109375" customWidth="1"/>
    <col min="14081" max="14081" width="4.140625" customWidth="1"/>
    <col min="14082" max="14082" width="19.85546875" customWidth="1"/>
    <col min="14083" max="14083" width="23.42578125" customWidth="1"/>
    <col min="14084" max="14084" width="21.7109375" customWidth="1"/>
    <col min="14085" max="14085" width="16.7109375" customWidth="1"/>
    <col min="14086" max="14086" width="19.140625" customWidth="1"/>
    <col min="14087" max="14087" width="18.140625" customWidth="1"/>
    <col min="14088" max="14088" width="21" customWidth="1"/>
    <col min="14089" max="14089" width="14.42578125" customWidth="1"/>
    <col min="14090" max="14090" width="19.42578125" customWidth="1"/>
    <col min="14091" max="14091" width="15.7109375" customWidth="1"/>
    <col min="14095" max="14095" width="10.28515625" customWidth="1"/>
    <col min="14098" max="14098" width="14.7109375" customWidth="1"/>
    <col min="14337" max="14337" width="4.140625" customWidth="1"/>
    <col min="14338" max="14338" width="19.85546875" customWidth="1"/>
    <col min="14339" max="14339" width="23.42578125" customWidth="1"/>
    <col min="14340" max="14340" width="21.7109375" customWidth="1"/>
    <col min="14341" max="14341" width="16.7109375" customWidth="1"/>
    <col min="14342" max="14342" width="19.140625" customWidth="1"/>
    <col min="14343" max="14343" width="18.140625" customWidth="1"/>
    <col min="14344" max="14344" width="21" customWidth="1"/>
    <col min="14345" max="14345" width="14.42578125" customWidth="1"/>
    <col min="14346" max="14346" width="19.42578125" customWidth="1"/>
    <col min="14347" max="14347" width="15.7109375" customWidth="1"/>
    <col min="14351" max="14351" width="10.28515625" customWidth="1"/>
    <col min="14354" max="14354" width="14.7109375" customWidth="1"/>
    <col min="14593" max="14593" width="4.140625" customWidth="1"/>
    <col min="14594" max="14594" width="19.85546875" customWidth="1"/>
    <col min="14595" max="14595" width="23.42578125" customWidth="1"/>
    <col min="14596" max="14596" width="21.7109375" customWidth="1"/>
    <col min="14597" max="14597" width="16.7109375" customWidth="1"/>
    <col min="14598" max="14598" width="19.140625" customWidth="1"/>
    <col min="14599" max="14599" width="18.140625" customWidth="1"/>
    <col min="14600" max="14600" width="21" customWidth="1"/>
    <col min="14601" max="14601" width="14.42578125" customWidth="1"/>
    <col min="14602" max="14602" width="19.42578125" customWidth="1"/>
    <col min="14603" max="14603" width="15.7109375" customWidth="1"/>
    <col min="14607" max="14607" width="10.28515625" customWidth="1"/>
    <col min="14610" max="14610" width="14.7109375" customWidth="1"/>
    <col min="14849" max="14849" width="4.140625" customWidth="1"/>
    <col min="14850" max="14850" width="19.85546875" customWidth="1"/>
    <col min="14851" max="14851" width="23.42578125" customWidth="1"/>
    <col min="14852" max="14852" width="21.7109375" customWidth="1"/>
    <col min="14853" max="14853" width="16.7109375" customWidth="1"/>
    <col min="14854" max="14854" width="19.140625" customWidth="1"/>
    <col min="14855" max="14855" width="18.140625" customWidth="1"/>
    <col min="14856" max="14856" width="21" customWidth="1"/>
    <col min="14857" max="14857" width="14.42578125" customWidth="1"/>
    <col min="14858" max="14858" width="19.42578125" customWidth="1"/>
    <col min="14859" max="14859" width="15.7109375" customWidth="1"/>
    <col min="14863" max="14863" width="10.28515625" customWidth="1"/>
    <col min="14866" max="14866" width="14.7109375" customWidth="1"/>
    <col min="15105" max="15105" width="4.140625" customWidth="1"/>
    <col min="15106" max="15106" width="19.85546875" customWidth="1"/>
    <col min="15107" max="15107" width="23.42578125" customWidth="1"/>
    <col min="15108" max="15108" width="21.7109375" customWidth="1"/>
    <col min="15109" max="15109" width="16.7109375" customWidth="1"/>
    <col min="15110" max="15110" width="19.140625" customWidth="1"/>
    <col min="15111" max="15111" width="18.140625" customWidth="1"/>
    <col min="15112" max="15112" width="21" customWidth="1"/>
    <col min="15113" max="15113" width="14.42578125" customWidth="1"/>
    <col min="15114" max="15114" width="19.42578125" customWidth="1"/>
    <col min="15115" max="15115" width="15.7109375" customWidth="1"/>
    <col min="15119" max="15119" width="10.28515625" customWidth="1"/>
    <col min="15122" max="15122" width="14.7109375" customWidth="1"/>
    <col min="15361" max="15361" width="4.140625" customWidth="1"/>
    <col min="15362" max="15362" width="19.85546875" customWidth="1"/>
    <col min="15363" max="15363" width="23.42578125" customWidth="1"/>
    <col min="15364" max="15364" width="21.7109375" customWidth="1"/>
    <col min="15365" max="15365" width="16.7109375" customWidth="1"/>
    <col min="15366" max="15366" width="19.140625" customWidth="1"/>
    <col min="15367" max="15367" width="18.140625" customWidth="1"/>
    <col min="15368" max="15368" width="21" customWidth="1"/>
    <col min="15369" max="15369" width="14.42578125" customWidth="1"/>
    <col min="15370" max="15370" width="19.42578125" customWidth="1"/>
    <col min="15371" max="15371" width="15.7109375" customWidth="1"/>
    <col min="15375" max="15375" width="10.28515625" customWidth="1"/>
    <col min="15378" max="15378" width="14.7109375" customWidth="1"/>
    <col min="15617" max="15617" width="4.140625" customWidth="1"/>
    <col min="15618" max="15618" width="19.85546875" customWidth="1"/>
    <col min="15619" max="15619" width="23.42578125" customWidth="1"/>
    <col min="15620" max="15620" width="21.7109375" customWidth="1"/>
    <col min="15621" max="15621" width="16.7109375" customWidth="1"/>
    <col min="15622" max="15622" width="19.140625" customWidth="1"/>
    <col min="15623" max="15623" width="18.140625" customWidth="1"/>
    <col min="15624" max="15624" width="21" customWidth="1"/>
    <col min="15625" max="15625" width="14.42578125" customWidth="1"/>
    <col min="15626" max="15626" width="19.42578125" customWidth="1"/>
    <col min="15627" max="15627" width="15.7109375" customWidth="1"/>
    <col min="15631" max="15631" width="10.28515625" customWidth="1"/>
    <col min="15634" max="15634" width="14.7109375" customWidth="1"/>
    <col min="15873" max="15873" width="4.140625" customWidth="1"/>
    <col min="15874" max="15874" width="19.85546875" customWidth="1"/>
    <col min="15875" max="15875" width="23.42578125" customWidth="1"/>
    <col min="15876" max="15876" width="21.7109375" customWidth="1"/>
    <col min="15877" max="15877" width="16.7109375" customWidth="1"/>
    <col min="15878" max="15878" width="19.140625" customWidth="1"/>
    <col min="15879" max="15879" width="18.140625" customWidth="1"/>
    <col min="15880" max="15880" width="21" customWidth="1"/>
    <col min="15881" max="15881" width="14.42578125" customWidth="1"/>
    <col min="15882" max="15882" width="19.42578125" customWidth="1"/>
    <col min="15883" max="15883" width="15.7109375" customWidth="1"/>
    <col min="15887" max="15887" width="10.28515625" customWidth="1"/>
    <col min="15890" max="15890" width="14.7109375" customWidth="1"/>
    <col min="16129" max="16129" width="4.140625" customWidth="1"/>
    <col min="16130" max="16130" width="19.85546875" customWidth="1"/>
    <col min="16131" max="16131" width="23.42578125" customWidth="1"/>
    <col min="16132" max="16132" width="21.7109375" customWidth="1"/>
    <col min="16133" max="16133" width="16.7109375" customWidth="1"/>
    <col min="16134" max="16134" width="19.140625" customWidth="1"/>
    <col min="16135" max="16135" width="18.140625" customWidth="1"/>
    <col min="16136" max="16136" width="21" customWidth="1"/>
    <col min="16137" max="16137" width="14.42578125" customWidth="1"/>
    <col min="16138" max="16138" width="19.42578125" customWidth="1"/>
    <col min="16139" max="16139" width="15.7109375" customWidth="1"/>
    <col min="16143" max="16143" width="10.28515625" customWidth="1"/>
    <col min="16146" max="16146" width="14.7109375" customWidth="1"/>
  </cols>
  <sheetData>
    <row r="1" spans="1:18" ht="6" customHeight="1"/>
    <row r="2" spans="1:18" ht="15.75">
      <c r="B2" s="2"/>
      <c r="E2" s="3"/>
    </row>
    <row r="3" spans="1:18" ht="18">
      <c r="B3" s="159" t="s">
        <v>239</v>
      </c>
      <c r="C3" s="159"/>
      <c r="D3" s="4"/>
      <c r="E3" s="5"/>
      <c r="F3" s="3"/>
    </row>
    <row r="4" spans="1:18">
      <c r="C4" s="3"/>
      <c r="D4" s="4"/>
      <c r="E4" s="6"/>
      <c r="F4" s="3"/>
    </row>
    <row r="5" spans="1:18" ht="16.5" customHeight="1" thickBot="1">
      <c r="D5" s="7"/>
      <c r="E5" s="8"/>
      <c r="F5" s="9"/>
      <c r="O5" t="s">
        <v>0</v>
      </c>
    </row>
    <row r="6" spans="1:18" ht="13.5" thickBot="1">
      <c r="B6" s="10"/>
      <c r="D6" s="11"/>
      <c r="E6" s="5"/>
      <c r="F6" s="12"/>
      <c r="G6" s="13"/>
      <c r="K6" s="8"/>
      <c r="P6" s="14" t="str">
        <f>IF(P7=1,"c","p")</f>
        <v>c</v>
      </c>
    </row>
    <row r="7" spans="1:18" ht="15.75" customHeight="1">
      <c r="A7" s="15"/>
      <c r="B7" s="16"/>
      <c r="D7" s="16"/>
      <c r="E7" s="17" t="s">
        <v>1</v>
      </c>
      <c r="F7" s="18">
        <f ca="1">INT(NOW())</f>
        <v>43126</v>
      </c>
      <c r="H7" s="228" t="s">
        <v>2</v>
      </c>
      <c r="K7" s="8"/>
      <c r="P7" s="19">
        <v>1</v>
      </c>
      <c r="Q7" s="20">
        <v>1</v>
      </c>
      <c r="R7" s="21">
        <v>1</v>
      </c>
    </row>
    <row r="8" spans="1:18" ht="15.75" customHeight="1">
      <c r="B8" s="22" t="s">
        <v>3</v>
      </c>
      <c r="C8" s="16">
        <v>3.7349999999999999</v>
      </c>
      <c r="D8" s="16"/>
      <c r="E8" s="17" t="s">
        <v>4</v>
      </c>
      <c r="F8" s="23">
        <f ca="1">F7+90</f>
        <v>43216</v>
      </c>
      <c r="G8" s="17" t="s">
        <v>5</v>
      </c>
      <c r="H8" s="24">
        <v>9</v>
      </c>
      <c r="P8" s="19" t="s">
        <v>6</v>
      </c>
      <c r="Q8" s="25" t="s">
        <v>7</v>
      </c>
      <c r="R8" s="26" t="s">
        <v>8</v>
      </c>
    </row>
    <row r="9" spans="1:18" ht="15.75" customHeight="1" thickBot="1">
      <c r="B9" s="22" t="s">
        <v>9</v>
      </c>
      <c r="C9" s="16">
        <v>4</v>
      </c>
      <c r="E9" s="17" t="s">
        <v>10</v>
      </c>
      <c r="F9" s="224">
        <f ca="1">F8-F7</f>
        <v>90</v>
      </c>
      <c r="G9" s="17" t="s">
        <v>11</v>
      </c>
      <c r="H9" s="27" t="str">
        <f>IF(R10=1,ImpliedVol(R7,P6,C8,C9,F10,P17,P18,H8,0.00000001),"")</f>
        <v/>
      </c>
      <c r="P9" s="19" t="s">
        <v>12</v>
      </c>
      <c r="Q9" s="25" t="s">
        <v>13</v>
      </c>
      <c r="R9" s="28" t="s">
        <v>14</v>
      </c>
    </row>
    <row r="10" spans="1:18" ht="15.75" customHeight="1">
      <c r="B10" s="22" t="s">
        <v>15</v>
      </c>
      <c r="C10" s="16">
        <v>0.25</v>
      </c>
      <c r="E10" s="17" t="s">
        <v>16</v>
      </c>
      <c r="F10" s="225">
        <f ca="1">IF(Q7=1,F9/F11,IF(Q7=2,C10/F11,IF(Q7=3,C10/52,C10)))</f>
        <v>0.24657534246575341</v>
      </c>
      <c r="H10" s="29"/>
      <c r="O10" s="30">
        <f>INDEX(P12:P16,O11)</f>
        <v>0</v>
      </c>
      <c r="P10" s="31">
        <f>INDEX(P12:P16,P11)</f>
        <v>0</v>
      </c>
      <c r="Q10" s="32" t="s">
        <v>17</v>
      </c>
      <c r="R10" s="21">
        <v>2</v>
      </c>
    </row>
    <row r="11" spans="1:18" ht="15.95" customHeight="1" thickBot="1">
      <c r="A11" s="33"/>
      <c r="B11" s="22" t="s">
        <v>18</v>
      </c>
      <c r="C11" s="34">
        <v>2.5000000000000001E-3</v>
      </c>
      <c r="E11" s="17" t="s">
        <v>19</v>
      </c>
      <c r="F11" s="35">
        <v>365</v>
      </c>
      <c r="H11" s="36"/>
      <c r="O11" s="37">
        <v>1</v>
      </c>
      <c r="P11" s="38">
        <v>1</v>
      </c>
      <c r="Q11" s="39" t="s">
        <v>20</v>
      </c>
      <c r="R11" s="26" t="s">
        <v>21</v>
      </c>
    </row>
    <row r="12" spans="1:18" ht="21" customHeight="1" thickBot="1">
      <c r="A12" s="33"/>
      <c r="B12" s="40"/>
      <c r="C12" s="34">
        <v>0.14499999999999999</v>
      </c>
      <c r="G12" s="41"/>
      <c r="H12" s="36"/>
      <c r="O12" s="37" t="s">
        <v>22</v>
      </c>
      <c r="P12" s="38">
        <v>0</v>
      </c>
      <c r="R12" s="28" t="s">
        <v>23</v>
      </c>
    </row>
    <row r="13" spans="1:18" ht="21" customHeight="1">
      <c r="A13" s="33"/>
      <c r="B13" s="40" t="s">
        <v>24</v>
      </c>
      <c r="C13" s="34">
        <v>0.17499999999999999</v>
      </c>
      <c r="D13" s="42"/>
      <c r="E13" s="43"/>
      <c r="F13" s="9"/>
      <c r="G13" s="44"/>
      <c r="I13" s="45"/>
      <c r="O13" s="37" t="s">
        <v>25</v>
      </c>
      <c r="P13" s="38">
        <v>1</v>
      </c>
    </row>
    <row r="14" spans="1:18">
      <c r="B14" s="46" t="s">
        <v>26</v>
      </c>
      <c r="C14" s="226">
        <f ca="1">CTheOptionFormula("p",$P$6,$C$8,$C$9,$F$10,$P$17,$P$18,$C$13)</f>
        <v>8.1408590549746987E-2</v>
      </c>
      <c r="O14" s="37" t="s">
        <v>31</v>
      </c>
      <c r="P14" s="38">
        <v>2</v>
      </c>
    </row>
    <row r="15" spans="1:18">
      <c r="B15" s="46" t="s">
        <v>32</v>
      </c>
      <c r="C15" s="227">
        <f ca="1">PutCallParity(P6,C14,C8,C9,F10,P17,P18)</f>
        <v>0.21037407986078532</v>
      </c>
      <c r="O15" s="37" t="s">
        <v>37</v>
      </c>
      <c r="P15" s="38">
        <v>4</v>
      </c>
    </row>
    <row r="16" spans="1:18" ht="15">
      <c r="B16" s="46" t="s">
        <v>38</v>
      </c>
      <c r="C16" s="156">
        <f ca="1">IF(P6="c",C9+C14,C9-C14)</f>
        <v>4.0814085905497466</v>
      </c>
      <c r="O16" s="47" t="s">
        <v>43</v>
      </c>
      <c r="P16" s="38">
        <v>12</v>
      </c>
    </row>
    <row r="17" spans="2:17" ht="19.5" thickBot="1">
      <c r="B17" s="46" t="s">
        <v>44</v>
      </c>
      <c r="C17" s="158">
        <f ca="1">C14/C8</f>
        <v>2.1796142048125029E-2</v>
      </c>
      <c r="O17" s="48" t="s">
        <v>49</v>
      </c>
      <c r="P17" s="49">
        <f>ConvertingToCCRate(C11,O10)</f>
        <v>2.5000000000000001E-3</v>
      </c>
    </row>
    <row r="18" spans="2:17" ht="15.75" thickBot="1">
      <c r="B18" s="46" t="s">
        <v>50</v>
      </c>
      <c r="C18" s="157">
        <f ca="1">C8*EXP(P18*F10)</f>
        <v>3.8709549869064919</v>
      </c>
      <c r="O18" s="48" t="s">
        <v>55</v>
      </c>
      <c r="P18" s="49">
        <f>INDEX(P19:P20,Q18)</f>
        <v>0.14499999999999999</v>
      </c>
      <c r="Q18" s="50">
        <v>2</v>
      </c>
    </row>
    <row r="19" spans="2:17" ht="19.5" thickBot="1">
      <c r="B19" s="165" t="s">
        <v>56</v>
      </c>
      <c r="C19" s="168"/>
      <c r="D19" s="186" t="s">
        <v>27</v>
      </c>
      <c r="E19" s="187"/>
      <c r="F19" s="193" t="s">
        <v>28</v>
      </c>
      <c r="G19" s="167"/>
      <c r="H19" s="165" t="s">
        <v>29</v>
      </c>
      <c r="I19" s="168"/>
      <c r="J19" s="166" t="s">
        <v>30</v>
      </c>
      <c r="K19" s="168"/>
      <c r="L19" s="160"/>
      <c r="O19" s="51" t="s">
        <v>61</v>
      </c>
      <c r="P19" s="52">
        <f>P17-P20</f>
        <v>-0.14249999999999999</v>
      </c>
      <c r="Q19" s="53" t="s">
        <v>62</v>
      </c>
    </row>
    <row r="20" spans="2:17" ht="15.75" thickBot="1">
      <c r="B20" s="169" t="s">
        <v>63</v>
      </c>
      <c r="C20" s="170">
        <f ca="1">CTheOptionFormula("d",$P$6,$C$8,$C$9,$F$10,$P$17,$P$18,$C$13)</f>
        <v>0.38242274674554483</v>
      </c>
      <c r="D20" s="188" t="s">
        <v>33</v>
      </c>
      <c r="E20" s="170">
        <f ca="1">CTheOptionFormula("g",$P$6,$C$8,$C$9,$F$10,$P$17,$P$18,$C$13)</f>
        <v>1.2040748966420494</v>
      </c>
      <c r="F20" s="188" t="s">
        <v>34</v>
      </c>
      <c r="G20" s="208">
        <f ca="1">CTheOptionFormula("v",$P$6,$C$8,$C$9,$F$10,$P$17,$P$18,$C$13)-G11</f>
        <v>7.2480704840789363E-3</v>
      </c>
      <c r="H20" s="188" t="s">
        <v>35</v>
      </c>
      <c r="I20" s="202">
        <f ca="1">CTheOptionFormula("t",$P$6,$C$8,$C$9,$F$10,$P$17,$P$18,$C$13)</f>
        <v>-1.2715422250179017E-3</v>
      </c>
      <c r="J20" s="161" t="s">
        <v>36</v>
      </c>
      <c r="K20" s="204">
        <f ca="1">CTheOptionFormula("z",$P$6,$C$8,$C$9,$F$10,$P$17,$P$18,$C$13)</f>
        <v>0.33694273255505908</v>
      </c>
      <c r="O20" s="51" t="s">
        <v>68</v>
      </c>
      <c r="P20" s="52">
        <f>ConvertingToCCRate(C12,P10)</f>
        <v>0.14499999999999999</v>
      </c>
      <c r="Q20" s="53" t="s">
        <v>69</v>
      </c>
    </row>
    <row r="21" spans="2:17" ht="15.75" thickBot="1">
      <c r="B21" s="169" t="s">
        <v>70</v>
      </c>
      <c r="C21" s="170">
        <f ca="1">C20*EXP(C12*F10)</f>
        <v>0.39634303577540703</v>
      </c>
      <c r="D21" s="188" t="s">
        <v>39</v>
      </c>
      <c r="E21" s="170">
        <f ca="1">CTheOptionFormula("s",$P$6,$C$8,$C$9,$F$10,$P$17,$P$18,$C$13)</f>
        <v>0.91640944123075574</v>
      </c>
      <c r="F21" s="188" t="s">
        <v>40</v>
      </c>
      <c r="G21" s="209">
        <f ca="1">CTheOptionFormula("dvdv",$P$6,$C$8,$C$9,$F$10,$P$17,$P$18,$C$13)</f>
        <v>5.8200718899211548E-5</v>
      </c>
      <c r="H21" s="188" t="s">
        <v>41</v>
      </c>
      <c r="I21" s="202">
        <f ca="1">CTheOptionFormula("Dlt",$P$6,$C$8,$C$9,$F$10,$P$17,$P$18,$C$13)*365</f>
        <v>-0.24832532742589941</v>
      </c>
      <c r="J21" s="161" t="s">
        <v>42</v>
      </c>
      <c r="K21" s="204">
        <f ca="1">CTheOptionFormula("zv",$P$6,$C$8,$C$9,$F$10,$P$17,$P$18,$C$13)</f>
        <v>6.9672818510982757E-3</v>
      </c>
      <c r="O21" s="51" t="s">
        <v>74</v>
      </c>
    </row>
    <row r="22" spans="2:17" ht="15">
      <c r="B22" s="171" t="s">
        <v>75</v>
      </c>
      <c r="C22" s="172"/>
      <c r="D22" s="188" t="s">
        <v>45</v>
      </c>
      <c r="E22" s="170">
        <f ca="1">CTheOptionFormula("gv",$P$6,$C$8,$C$9,$F$10,$P$17,$P$18,$C$13)</f>
        <v>-5.9135772203645819E-2</v>
      </c>
      <c r="F22" s="188" t="s">
        <v>46</v>
      </c>
      <c r="G22" s="210">
        <f ca="1">$C$9*EXP((-$P$18-$C$13^2/2)*$F$10)</f>
        <v>3.8449678888982035</v>
      </c>
      <c r="H22" s="188" t="s">
        <v>47</v>
      </c>
      <c r="I22" s="203">
        <f ca="1">I20/C14</f>
        <v>-1.561926347614249E-2</v>
      </c>
      <c r="J22" s="161" t="s">
        <v>48</v>
      </c>
      <c r="K22" s="204">
        <f ca="1">CTheOptionFormula("zt",$P$6,$C$8,$C$9,$F$10,$P$17,$P$18,$C$13)</f>
        <v>2.3466099867452926E-3</v>
      </c>
    </row>
    <row r="23" spans="2:17" ht="15">
      <c r="B23" s="169" t="s">
        <v>79</v>
      </c>
      <c r="C23" s="170">
        <f ca="1">CTheOptionFormula("dddv",$P$6,$C$8,$C$9,$F$10,$P$17,$P$18,$C$13)</f>
        <v>9.3975966756040669E-3</v>
      </c>
      <c r="D23" s="188" t="s">
        <v>51</v>
      </c>
      <c r="E23" s="170">
        <f ca="1">CTheOptionFormula("gt",$P$6,$C$8,$C$9,$F$10,$P$17,$P$18,$C$13)</f>
        <v>3.4411578277830021E-3</v>
      </c>
      <c r="F23" s="188" t="s">
        <v>52</v>
      </c>
      <c r="G23" s="210">
        <f ca="1">$C$9*EXP((-$P$18+$C$13^2/2)*$F$10)</f>
        <v>3.8741125661640714</v>
      </c>
      <c r="H23" s="188" t="s">
        <v>53</v>
      </c>
      <c r="I23" s="202">
        <f ca="1">E20/I20</f>
        <v>-946.94055215122523</v>
      </c>
      <c r="J23" s="161" t="s">
        <v>54</v>
      </c>
      <c r="K23" s="204">
        <f ca="1">CTheOptionFormula("bp",$P$6,$C$8,$C$9,$F$10,$P$17,$P$18,$C$13)</f>
        <v>0.25693706707543817</v>
      </c>
    </row>
    <row r="24" spans="2:17" ht="15">
      <c r="B24" s="173" t="s">
        <v>82</v>
      </c>
      <c r="C24" s="174">
        <f ca="1">MaxDdeltaDvolAsset("u",$C$9,$F$10,$P$18,$C$13)</f>
        <v>4.2102479503927768</v>
      </c>
      <c r="D24" s="220" t="s">
        <v>57</v>
      </c>
      <c r="E24" s="221"/>
      <c r="F24" s="188" t="s">
        <v>58</v>
      </c>
      <c r="G24" s="211">
        <f ca="1">CTheOptionFormula("vvv",$P$6,$C$8,$C$9,$F$10,$P$17,$P$18,$C$13)</f>
        <v>-9.6886442055174143E-6</v>
      </c>
      <c r="H24" s="188" t="s">
        <v>59</v>
      </c>
      <c r="I24" s="204">
        <f ca="1">-I20/(G20*100)</f>
        <v>1.754318239331368E-3</v>
      </c>
      <c r="J24" s="161" t="s">
        <v>60</v>
      </c>
      <c r="K24" s="202">
        <f ca="1">CTheOptionFormula("dxdx",$P$6,$C$8,$C$9,$F$10,$P$17,$P$18,$C$13)</f>
        <v>1.0498197328130205</v>
      </c>
    </row>
    <row r="25" spans="2:17" ht="15" customHeight="1" thickBot="1">
      <c r="B25" s="173" t="s">
        <v>85</v>
      </c>
      <c r="C25" s="174">
        <f ca="1">MaxDdeltaDvolAsset("l",$C$9,$F$10,$P$18,$C$13)</f>
        <v>3.5379955267214673</v>
      </c>
      <c r="D25" s="188" t="s">
        <v>64</v>
      </c>
      <c r="E25" s="174">
        <f ca="1">GMaxGammaatS($C$9,$P$18,$F$10,$C$13)</f>
        <v>3.8160424649964089</v>
      </c>
      <c r="F25" s="188" t="s">
        <v>65</v>
      </c>
      <c r="G25" s="211">
        <f ca="1">CTheOptionFormula("vt",$P$6,$C$8,$C$9,$F$10,$P$17,$P$18,$C$13)</f>
        <v>-5.981966213798995E-5</v>
      </c>
      <c r="H25" s="220" t="s">
        <v>66</v>
      </c>
      <c r="I25" s="221"/>
      <c r="J25" s="161" t="s">
        <v>67</v>
      </c>
      <c r="K25" s="206">
        <f ca="1">CTheOptionFormula("dx",$P$6,$C$8,$C$9,$F$10,$P$17,$P$18,$C$13)</f>
        <v>-0.33673509213621572</v>
      </c>
    </row>
    <row r="26" spans="2:17" ht="15" customHeight="1" thickBot="1">
      <c r="B26" s="173" t="s">
        <v>90</v>
      </c>
      <c r="C26" s="174">
        <f ca="1">MaxDdeltaDvolStrike("u",$C$8,$F$10,$P$18,$C$13)</f>
        <v>4.2227300422407144</v>
      </c>
      <c r="D26" s="188" t="s">
        <v>71</v>
      </c>
      <c r="E26" s="174">
        <f ca="1">GMaxGammaVegaatX($C$8,$P$18,$F$10,$C$13)</f>
        <v>3.8855981198535159</v>
      </c>
      <c r="F26" s="220" t="s">
        <v>57</v>
      </c>
      <c r="G26" s="221"/>
      <c r="H26" s="188" t="s">
        <v>72</v>
      </c>
      <c r="I26" s="205">
        <f ca="1">C20</f>
        <v>0.38242274674554483</v>
      </c>
      <c r="J26" s="222" t="s">
        <v>73</v>
      </c>
      <c r="K26" s="223"/>
    </row>
    <row r="27" spans="2:17" ht="15">
      <c r="B27" s="173" t="s">
        <v>93</v>
      </c>
      <c r="C27" s="174">
        <f ca="1">MaxDdeltaDvolStrike("l",$C$8,$F$10,$P$18,$C$13)</f>
        <v>3.5484845966390739</v>
      </c>
      <c r="D27" s="220" t="s">
        <v>76</v>
      </c>
      <c r="E27" s="221"/>
      <c r="F27" s="188" t="s">
        <v>77</v>
      </c>
      <c r="G27" s="212">
        <f>2*(1+SQRT(1+(8*P17/C13^2+1)*LN(C8/C9)^2))/(8*P17+C13^2)</f>
        <v>79.165473517425028</v>
      </c>
      <c r="H27" s="188" t="s">
        <v>71</v>
      </c>
      <c r="I27" s="202">
        <f ca="1">CTheOptionFormula("xfd",$P$6,$C$8,,$F$10,$P$17,$P$18,$C$13,$I$26)</f>
        <v>4.0000000003792691</v>
      </c>
      <c r="J27" s="161" t="s">
        <v>78</v>
      </c>
      <c r="K27" s="202">
        <f ca="1">CTheOptionFormula("r",$P$6,$C$8,$C$9,$F$10,$P$17,$P$18,$C$13)</f>
        <v>3.3212228265489768E-3</v>
      </c>
    </row>
    <row r="28" spans="2:17" ht="15">
      <c r="B28" s="169" t="s">
        <v>97</v>
      </c>
      <c r="C28" s="175">
        <f ca="1">CTheOptionFormula("dvv",$P$6,$C$8,$C$9,$F$10,$P$17,$P$18,$C$13)</f>
        <v>-8.8765966640119438E-4</v>
      </c>
      <c r="D28" s="189" t="s">
        <v>64</v>
      </c>
      <c r="E28" s="174">
        <f>GMaxGammaatS($C$9,$P$18,E29,$C$13)</f>
        <v>2.9629818093139404</v>
      </c>
      <c r="F28" s="188" t="s">
        <v>64</v>
      </c>
      <c r="G28" s="212">
        <f ca="1">GMaxVegaatS(C9,P18,F10,C13)</f>
        <v>3.8741125661640714</v>
      </c>
      <c r="H28" s="188" t="s">
        <v>80</v>
      </c>
      <c r="I28" s="204">
        <f ca="1">CTheOptionFormula("ipfd",$P$6,$C$8,,$F$10,$P$17,$P$18,$C$13,$I$26)</f>
        <v>0.33694273215664994</v>
      </c>
      <c r="J28" s="161" t="s">
        <v>81</v>
      </c>
      <c r="K28" s="202">
        <f ca="1">CTheOptionFormula("fr",$P$6,$C$8,$C$9,$F$10,$P$17,$P$18,$C$13)</f>
        <v>-1.0141579199606586E-4</v>
      </c>
    </row>
    <row r="29" spans="2:17" ht="15">
      <c r="B29" s="220" t="s">
        <v>102</v>
      </c>
      <c r="C29" s="221"/>
      <c r="D29" s="189" t="s">
        <v>83</v>
      </c>
      <c r="E29" s="174">
        <f>1/(2*($C$13^2+2*P18-P17))</f>
        <v>1.5717092337917486</v>
      </c>
      <c r="F29" s="188" t="s">
        <v>71</v>
      </c>
      <c r="G29" s="212">
        <f ca="1">GMaxGammaVegaatX($C$8,$P$18,$F$10,$C$13)</f>
        <v>3.8855981198535159</v>
      </c>
      <c r="H29" s="188" t="s">
        <v>33</v>
      </c>
      <c r="I29" s="204">
        <f ca="1">CTheOptionFormula("gfd",,$C$8,,$F$10,$P$17,$P$18,$C$13,$I$26)</f>
        <v>1.2040748962033434</v>
      </c>
      <c r="J29" s="161" t="s">
        <v>84</v>
      </c>
      <c r="K29" s="202">
        <f ca="1">CTheOptionFormula("b",$P$6,$C$8,$C$9,$F$10,$P$17,$P$18,$C$13)</f>
        <v>3.5219563374935588E-3</v>
      </c>
    </row>
    <row r="30" spans="2:17" ht="15.75" thickBot="1">
      <c r="B30" s="169" t="s">
        <v>107</v>
      </c>
      <c r="C30" s="176">
        <f ca="1">CTheOptionFormula("dt",$P$6,$C$8,$C$9,$F$10,$P$17,$P$18,$C$13)</f>
        <v>-2.8495240092275406E-3</v>
      </c>
      <c r="D30" s="189" t="s">
        <v>86</v>
      </c>
      <c r="E30" s="197">
        <f ca="1">CTheOptionFormula("sg",,,$C$9,$F$10,$P$17,$P$18,$C$13)</f>
        <v>0.74950263570745845</v>
      </c>
      <c r="F30" s="220" t="s">
        <v>87</v>
      </c>
      <c r="G30" s="221"/>
      <c r="H30" s="188" t="s">
        <v>88</v>
      </c>
      <c r="I30" s="204">
        <f ca="1">CTheOptionFormula("gpfd",,$C$8,,$F$10,$P$17,$P$18,$C$13,$I$26)</f>
        <v>4.4972197373194876E-2</v>
      </c>
      <c r="J30" s="161" t="s">
        <v>89</v>
      </c>
      <c r="K30" s="202">
        <f ca="1">CTheOptionFormula("f",$P$6,$C$8,$C$9,$F$10,$P$17,$P$18,$C$13)</f>
        <v>-3.5219563374935588E-3</v>
      </c>
      <c r="L30" s="13"/>
    </row>
    <row r="31" spans="2:17" ht="16.5" customHeight="1" thickBot="1">
      <c r="B31" s="169" t="s">
        <v>111</v>
      </c>
      <c r="C31" s="174">
        <f ca="1">GDeltaMirrorStrike(C8,F10,P18,C13)</f>
        <v>3.8855981198535159</v>
      </c>
      <c r="D31" s="220" t="s">
        <v>91</v>
      </c>
      <c r="E31" s="221"/>
      <c r="F31" s="188" t="s">
        <v>64</v>
      </c>
      <c r="G31" s="212">
        <f>C9*EXP((-P18+C13^2/2)/(2*P17))</f>
        <v>2.1754387841965841E-11</v>
      </c>
      <c r="H31" s="188" t="s">
        <v>34</v>
      </c>
      <c r="I31" s="202">
        <f ca="1">CTheOptionFormula("vfd",,$C$8,,$F$10,$P$17,$P$18,,$I$26)</f>
        <v>7.2480704814380948E-3</v>
      </c>
      <c r="J31" s="222" t="s">
        <v>92</v>
      </c>
      <c r="K31" s="223"/>
    </row>
    <row r="32" spans="2:17" ht="15">
      <c r="B32" s="169" t="s">
        <v>115</v>
      </c>
      <c r="C32" s="174">
        <f ca="1">CTheOptionFormula("dmx",,C8,C9,F10,P17,P18,C13)</f>
        <v>3.7744681872522943</v>
      </c>
      <c r="D32" s="188" t="s">
        <v>94</v>
      </c>
      <c r="E32" s="197">
        <f ca="1">CTheOptionFormula("gp",$P$6,$C$8,$C$9,$F$10,$P$17,$P$18,$C$13)</f>
        <v>4.497219738958054E-2</v>
      </c>
      <c r="F32" s="188" t="s">
        <v>77</v>
      </c>
      <c r="G32" s="212">
        <f>1/(2*P17)</f>
        <v>200</v>
      </c>
      <c r="H32" s="188" t="s">
        <v>95</v>
      </c>
      <c r="I32" s="202">
        <f ca="1">CTheOptionFormula("vpfd",,$C$8,,$F$10,$P$17,$P$18,$C$13,$I$26)</f>
        <v>1.2684123342516665E-2</v>
      </c>
      <c r="J32" s="161" t="s">
        <v>96</v>
      </c>
      <c r="K32" s="202">
        <f ca="1">CTheOptionFormula("d1",$P$6,C8,C9,F10,P17,P18,C13)</f>
        <v>-0.33392283459337979</v>
      </c>
    </row>
    <row r="33" spans="2:12" ht="15" customHeight="1">
      <c r="B33" s="220" t="s">
        <v>119</v>
      </c>
      <c r="C33" s="221"/>
      <c r="D33" s="188" t="s">
        <v>98</v>
      </c>
      <c r="E33" s="198">
        <f ca="1">CTheOptionFormula("gps",$P$6,$C$8,$C$9,$F$10,$P$17,$P$18,$C$13)</f>
        <v>4.6268641596389222E-2</v>
      </c>
      <c r="F33" s="188" t="s">
        <v>99</v>
      </c>
      <c r="G33" s="212">
        <f>C9/(2*SQRT(P17*EXP(1)*PI()))/100</f>
        <v>0.1368793121248866</v>
      </c>
      <c r="H33" s="220" t="s">
        <v>100</v>
      </c>
      <c r="I33" s="221"/>
      <c r="J33" s="161" t="s">
        <v>101</v>
      </c>
      <c r="K33" s="202">
        <f ca="1">CTheOptionFormula("d2",$P$6,C8,C9,F10,P17,P18,C13)</f>
        <v>-0.42082145289662842</v>
      </c>
      <c r="L33" s="17"/>
    </row>
    <row r="34" spans="2:12" ht="15">
      <c r="B34" s="169" t="s">
        <v>124</v>
      </c>
      <c r="C34" s="170">
        <f ca="1">CTheOptionFormula("e",$P$6,$C$8,$C$9,$F$10,$P$17,$P$18,$C$13)</f>
        <v>17.54543285234471</v>
      </c>
      <c r="D34" s="188" t="s">
        <v>103</v>
      </c>
      <c r="E34" s="198">
        <f ca="1">CTheOptionFormula("gpv",$P$6,$C$8,$C$9,$F$10,$P$17,$P$18,$C$13)</f>
        <v>-2.2087210918061715E-3</v>
      </c>
      <c r="F34" s="220" t="s">
        <v>104</v>
      </c>
      <c r="G34" s="221"/>
      <c r="H34" s="188" t="s">
        <v>105</v>
      </c>
      <c r="I34" s="205">
        <f ca="1">K20</f>
        <v>0.33694273255505908</v>
      </c>
      <c r="J34" s="161" t="s">
        <v>106</v>
      </c>
      <c r="K34" s="202">
        <f ca="1">nd(K32)</f>
        <v>0.37730901345594581</v>
      </c>
      <c r="L34" s="54"/>
    </row>
    <row r="35" spans="2:12" ht="15.75" thickBot="1">
      <c r="B35" s="169" t="s">
        <v>128</v>
      </c>
      <c r="C35" s="178">
        <v>1.2</v>
      </c>
      <c r="D35" s="188" t="s">
        <v>108</v>
      </c>
      <c r="E35" s="198">
        <f ca="1">CTheOptionFormula("gpt",$P$6,$C$8,$C$9,$F$10,$P$17,$P$18,$C$13)</f>
        <v>1.2852724486769513E-4</v>
      </c>
      <c r="F35" s="188" t="s">
        <v>109</v>
      </c>
      <c r="G35" s="213">
        <f ca="1">CTheOptionFormula("vp",$P$6,$C$8,$C$9,$F$10,$P$17,$P$18,$C$13)</f>
        <v>1.2684123347138138E-2</v>
      </c>
      <c r="H35" s="188" t="s">
        <v>71</v>
      </c>
      <c r="I35" s="202">
        <f ca="1">CTheOptionFormula("xfip",$P$6,$C$8,,$F$10,$P$17,$P$18,$C$13,,$I$34)</f>
        <v>4.0000000002792495</v>
      </c>
      <c r="J35" s="161" t="s">
        <v>110</v>
      </c>
      <c r="K35" s="202">
        <f ca="1">nd(K33)</f>
        <v>0.36513655181051552</v>
      </c>
    </row>
    <row r="36" spans="2:12" ht="15" customHeight="1" thickBot="1">
      <c r="B36" s="169" t="s">
        <v>132</v>
      </c>
      <c r="C36" s="179">
        <f ca="1">C34*C35*100</f>
        <v>2105.4519422813651</v>
      </c>
      <c r="D36" s="222" t="s">
        <v>112</v>
      </c>
      <c r="E36" s="223"/>
      <c r="F36" s="188" t="s">
        <v>113</v>
      </c>
      <c r="G36" s="213">
        <f ca="1">CTheOptionFormula("vpv",$P$6,$C$8,$C$9,$F$10,$P$17,$P$18,$C$13)</f>
        <v>1.0185125807362018E-4</v>
      </c>
      <c r="H36" s="188" t="s">
        <v>72</v>
      </c>
      <c r="I36" s="202">
        <f ca="1">CTheOptionFormula("RNDfip",,,$C$9,$F$10,$P$17,,$C$13,,$I$34)</f>
        <v>1.0498197324581002</v>
      </c>
      <c r="J36" s="161" t="s">
        <v>114</v>
      </c>
      <c r="K36" s="202">
        <f ca="1">cnd(K32)</f>
        <v>0.36921889416248654</v>
      </c>
    </row>
    <row r="37" spans="2:12" ht="15">
      <c r="B37" s="169" t="s">
        <v>136</v>
      </c>
      <c r="C37" s="170">
        <f ca="1">C13*ABS(C34)*100</f>
        <v>307.04507491603243</v>
      </c>
      <c r="D37" s="190" t="s">
        <v>116</v>
      </c>
      <c r="E37" s="199">
        <v>0.3</v>
      </c>
      <c r="F37" s="220" t="s">
        <v>117</v>
      </c>
      <c r="G37" s="221"/>
      <c r="H37" s="188" t="s">
        <v>60</v>
      </c>
      <c r="I37" s="202">
        <f ca="1">CTheOptionFormula("RNDfip",,,$C$9,$F$10,$P$17,,$C$13,,$I$34)</f>
        <v>1.0498197324581002</v>
      </c>
      <c r="J37" s="161" t="s">
        <v>118</v>
      </c>
      <c r="K37" s="202">
        <f ca="1">cnd(K33)</f>
        <v>0.33694273255505908</v>
      </c>
    </row>
    <row r="38" spans="2:12" ht="15.75" thickBot="1">
      <c r="B38" s="177"/>
      <c r="C38" s="180"/>
      <c r="D38" s="190" t="s">
        <v>120</v>
      </c>
      <c r="E38" s="200">
        <v>60</v>
      </c>
      <c r="F38" s="188" t="s">
        <v>121</v>
      </c>
      <c r="G38" s="214">
        <f ca="1">CTheOptionFormula("vl",$P$6,$C$8,$C$9,$F$10,$P$17,$P$18,$C$13)</f>
        <v>1.558081679277711</v>
      </c>
      <c r="H38" s="188" t="s">
        <v>122</v>
      </c>
      <c r="I38" s="203">
        <f ca="1">CTheOptionFormula("dfip",$P$6,$C$8,,$F$10,$P$17,$P$18,$C$13,,$I$34)</f>
        <v>0.31741451639979462</v>
      </c>
      <c r="J38" s="161" t="s">
        <v>123</v>
      </c>
      <c r="K38" s="202">
        <f ca="1">nd(-K32)</f>
        <v>0.37730901345594581</v>
      </c>
    </row>
    <row r="39" spans="2:12" ht="18.75" customHeight="1" thickBot="1">
      <c r="B39" s="222" t="s">
        <v>139</v>
      </c>
      <c r="C39" s="223"/>
      <c r="D39" s="190" t="s">
        <v>125</v>
      </c>
      <c r="E39" s="199">
        <v>0.95</v>
      </c>
      <c r="F39" s="194"/>
      <c r="G39" s="163"/>
      <c r="H39" s="194"/>
      <c r="I39" s="180"/>
      <c r="J39" s="161" t="s">
        <v>127</v>
      </c>
      <c r="K39" s="202">
        <f ca="1">nd(-K33)</f>
        <v>0.36513655181051552</v>
      </c>
    </row>
    <row r="40" spans="2:12" ht="18" customHeight="1" thickBot="1">
      <c r="B40" s="181" t="s">
        <v>140</v>
      </c>
      <c r="C40" s="182">
        <v>20</v>
      </c>
      <c r="D40" s="189" t="s">
        <v>129</v>
      </c>
      <c r="E40" s="201">
        <f>GConfidenceIntervalVolatility(1-$E$39,$E$38,$E$37,"l")</f>
        <v>0.25429021540551666</v>
      </c>
      <c r="F40" s="194"/>
      <c r="G40" s="164"/>
      <c r="H40" s="222" t="s">
        <v>126</v>
      </c>
      <c r="I40" s="223"/>
      <c r="J40" s="161" t="s">
        <v>131</v>
      </c>
      <c r="K40" s="202">
        <f ca="1">cnd(-K32)</f>
        <v>0.63078110583751346</v>
      </c>
    </row>
    <row r="41" spans="2:12">
      <c r="B41" s="181" t="s">
        <v>141</v>
      </c>
      <c r="C41" s="183">
        <f ca="1">GProfitLossSTD("a",$P$6,$C$8,$C$9,$F$10,$P$17,$P$18,$C$13,$C$40)</f>
        <v>2.513566615395715E-2</v>
      </c>
      <c r="D41" s="189" t="s">
        <v>133</v>
      </c>
      <c r="E41" s="201">
        <f>GConfidenceIntervalVolatility(1-$E$39,$E$38,$E$37,"u")</f>
        <v>0.3658985812049656</v>
      </c>
      <c r="F41" s="194"/>
      <c r="G41" s="162"/>
      <c r="H41" s="169" t="s">
        <v>130</v>
      </c>
      <c r="I41" s="215">
        <f ca="1">CTheOptionFormula("varVega",$P$6,$C$8,$C$9,$F$10,$P$17,$P$18,$C$13)*100</f>
        <v>2.0708772811654108</v>
      </c>
      <c r="J41" s="161" t="s">
        <v>135</v>
      </c>
      <c r="K41" s="202">
        <f ca="1">cnd(-K33)</f>
        <v>0.66305726744494087</v>
      </c>
    </row>
    <row r="42" spans="2:12" ht="13.5" thickBot="1">
      <c r="B42" s="184" t="s">
        <v>142</v>
      </c>
      <c r="C42" s="185">
        <f ca="1">GProfitLossSTD("p",$P$6,$C$8,$C$9,$F$10,$P$17,$P$18,$C$13,$C$40)</f>
        <v>0.30875938256905827</v>
      </c>
      <c r="D42" s="191"/>
      <c r="E42" s="192"/>
      <c r="F42" s="195"/>
      <c r="G42" s="207"/>
      <c r="H42" s="169" t="s">
        <v>134</v>
      </c>
      <c r="I42" s="216">
        <f ca="1">CTheOptionFormula("vardelta",$P$6,$C$8,$C$9,$F$10,$P$17,$P$18,$C$13)</f>
        <v>1.002857816668034E-3</v>
      </c>
      <c r="J42" s="207"/>
      <c r="K42" s="196"/>
    </row>
    <row r="43" spans="2:12" ht="15.75">
      <c r="C43" s="55"/>
      <c r="D43" s="56"/>
      <c r="E43" s="57"/>
      <c r="H43" s="169" t="s">
        <v>137</v>
      </c>
      <c r="I43" s="217">
        <f ca="1">CTheOptionFormula("varvar",$P$6,$C$8,$C$9,$F$10,$P$17,$P$18,$C$13)</f>
        <v>-2.905916223133638E-3</v>
      </c>
    </row>
    <row r="44" spans="2:12" ht="13.5" thickBot="1">
      <c r="B44" s="46"/>
      <c r="C44" s="58"/>
      <c r="D44" s="59"/>
      <c r="H44" s="218" t="s">
        <v>138</v>
      </c>
      <c r="I44" s="219">
        <f ca="1">CTheOptionFormula("varult",$P$6,$C$8,$C$9,$F$10,$P$17,$P$18,$C$13)</f>
        <v>1.1973316963332708E-3</v>
      </c>
    </row>
    <row r="45" spans="2:12">
      <c r="B45" s="46"/>
      <c r="C45" s="58"/>
      <c r="D45" s="56"/>
    </row>
    <row r="48" spans="2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</sheetData>
  <mergeCells count="23">
    <mergeCell ref="J31:K31"/>
    <mergeCell ref="J26:K26"/>
    <mergeCell ref="B33:C33"/>
    <mergeCell ref="H40:I40"/>
    <mergeCell ref="D31:E31"/>
    <mergeCell ref="D27:E27"/>
    <mergeCell ref="H19:I19"/>
    <mergeCell ref="J19:K19"/>
    <mergeCell ref="H33:I33"/>
    <mergeCell ref="H25:I25"/>
    <mergeCell ref="D36:E36"/>
    <mergeCell ref="B39:C39"/>
    <mergeCell ref="F26:G26"/>
    <mergeCell ref="F30:G30"/>
    <mergeCell ref="F34:G34"/>
    <mergeCell ref="F37:G37"/>
    <mergeCell ref="B3:C3"/>
    <mergeCell ref="B29:C29"/>
    <mergeCell ref="B22:C22"/>
    <mergeCell ref="B19:C19"/>
    <mergeCell ref="D19:E19"/>
    <mergeCell ref="F19:G19"/>
    <mergeCell ref="D24:E24"/>
  </mergeCell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800100</xdr:colOff>
                    <xdr:row>5</xdr:row>
                    <xdr:rowOff>66675</xdr:rowOff>
                  </from>
                  <to>
                    <xdr:col>3</xdr:col>
                    <xdr:colOff>704850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8</xdr:col>
                    <xdr:colOff>95250</xdr:colOff>
                    <xdr:row>7</xdr:row>
                    <xdr:rowOff>161925</xdr:rowOff>
                  </from>
                  <to>
                    <xdr:col>8</xdr:col>
                    <xdr:colOff>752475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3</xdr:col>
                    <xdr:colOff>1133475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3</xdr:col>
                    <xdr:colOff>57150</xdr:colOff>
                    <xdr:row>11</xdr:row>
                    <xdr:rowOff>76200</xdr:rowOff>
                  </from>
                  <to>
                    <xdr:col>3</xdr:col>
                    <xdr:colOff>1123950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3</xdr:col>
                    <xdr:colOff>76200</xdr:colOff>
                    <xdr:row>8</xdr:row>
                    <xdr:rowOff>85725</xdr:rowOff>
                  </from>
                  <to>
                    <xdr:col>3</xdr:col>
                    <xdr:colOff>1047750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</xdr:col>
                    <xdr:colOff>133350</xdr:colOff>
                    <xdr:row>11</xdr:row>
                    <xdr:rowOff>85725</xdr:rowOff>
                  </from>
                  <to>
                    <xdr:col>1</xdr:col>
                    <xdr:colOff>1247775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8</xdr:col>
                    <xdr:colOff>95250</xdr:colOff>
                    <xdr:row>6</xdr:row>
                    <xdr:rowOff>85725</xdr:rowOff>
                  </from>
                  <to>
                    <xdr:col>9</xdr:col>
                    <xdr:colOff>428625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R86"/>
  <sheetViews>
    <sheetView showGridLines="0" topLeftCell="A52" zoomScaleNormal="100" workbookViewId="0">
      <selection activeCell="Z4" sqref="Z4"/>
    </sheetView>
  </sheetViews>
  <sheetFormatPr defaultRowHeight="12.75"/>
  <cols>
    <col min="1" max="1" width="2.28515625" customWidth="1"/>
    <col min="2" max="2" width="15.28515625" customWidth="1"/>
    <col min="3" max="7" width="11.28515625" customWidth="1"/>
    <col min="8" max="9" width="11.42578125" customWidth="1"/>
    <col min="10" max="10" width="12.7109375" customWidth="1"/>
    <col min="11" max="14" width="11.42578125" customWidth="1"/>
    <col min="15" max="15" width="14.7109375" customWidth="1"/>
    <col min="16" max="17" width="11.42578125" customWidth="1"/>
    <col min="18" max="18" width="9.140625" customWidth="1"/>
    <col min="19" max="256" width="11.42578125" customWidth="1"/>
    <col min="257" max="257" width="2.28515625" customWidth="1"/>
    <col min="258" max="258" width="15.28515625" customWidth="1"/>
    <col min="259" max="263" width="11.28515625" customWidth="1"/>
    <col min="264" max="265" width="11.42578125" customWidth="1"/>
    <col min="266" max="266" width="12.7109375" customWidth="1"/>
    <col min="267" max="270" width="11.42578125" customWidth="1"/>
    <col min="271" max="271" width="14.7109375" customWidth="1"/>
    <col min="272" max="273" width="11.42578125" customWidth="1"/>
    <col min="275" max="512" width="11.42578125" customWidth="1"/>
    <col min="513" max="513" width="2.28515625" customWidth="1"/>
    <col min="514" max="514" width="15.28515625" customWidth="1"/>
    <col min="515" max="519" width="11.28515625" customWidth="1"/>
    <col min="520" max="521" width="11.42578125" customWidth="1"/>
    <col min="522" max="522" width="12.7109375" customWidth="1"/>
    <col min="523" max="526" width="11.42578125" customWidth="1"/>
    <col min="527" max="527" width="14.7109375" customWidth="1"/>
    <col min="528" max="529" width="11.42578125" customWidth="1"/>
    <col min="531" max="768" width="11.42578125" customWidth="1"/>
    <col min="769" max="769" width="2.28515625" customWidth="1"/>
    <col min="770" max="770" width="15.28515625" customWidth="1"/>
    <col min="771" max="775" width="11.28515625" customWidth="1"/>
    <col min="776" max="777" width="11.42578125" customWidth="1"/>
    <col min="778" max="778" width="12.7109375" customWidth="1"/>
    <col min="779" max="782" width="11.42578125" customWidth="1"/>
    <col min="783" max="783" width="14.7109375" customWidth="1"/>
    <col min="784" max="785" width="11.42578125" customWidth="1"/>
    <col min="787" max="1024" width="11.42578125" customWidth="1"/>
    <col min="1025" max="1025" width="2.28515625" customWidth="1"/>
    <col min="1026" max="1026" width="15.28515625" customWidth="1"/>
    <col min="1027" max="1031" width="11.28515625" customWidth="1"/>
    <col min="1032" max="1033" width="11.42578125" customWidth="1"/>
    <col min="1034" max="1034" width="12.7109375" customWidth="1"/>
    <col min="1035" max="1038" width="11.42578125" customWidth="1"/>
    <col min="1039" max="1039" width="14.7109375" customWidth="1"/>
    <col min="1040" max="1041" width="11.42578125" customWidth="1"/>
    <col min="1043" max="1280" width="11.42578125" customWidth="1"/>
    <col min="1281" max="1281" width="2.28515625" customWidth="1"/>
    <col min="1282" max="1282" width="15.28515625" customWidth="1"/>
    <col min="1283" max="1287" width="11.28515625" customWidth="1"/>
    <col min="1288" max="1289" width="11.42578125" customWidth="1"/>
    <col min="1290" max="1290" width="12.7109375" customWidth="1"/>
    <col min="1291" max="1294" width="11.42578125" customWidth="1"/>
    <col min="1295" max="1295" width="14.7109375" customWidth="1"/>
    <col min="1296" max="1297" width="11.42578125" customWidth="1"/>
    <col min="1299" max="1536" width="11.42578125" customWidth="1"/>
    <col min="1537" max="1537" width="2.28515625" customWidth="1"/>
    <col min="1538" max="1538" width="15.28515625" customWidth="1"/>
    <col min="1539" max="1543" width="11.28515625" customWidth="1"/>
    <col min="1544" max="1545" width="11.42578125" customWidth="1"/>
    <col min="1546" max="1546" width="12.7109375" customWidth="1"/>
    <col min="1547" max="1550" width="11.42578125" customWidth="1"/>
    <col min="1551" max="1551" width="14.7109375" customWidth="1"/>
    <col min="1552" max="1553" width="11.42578125" customWidth="1"/>
    <col min="1555" max="1792" width="11.42578125" customWidth="1"/>
    <col min="1793" max="1793" width="2.28515625" customWidth="1"/>
    <col min="1794" max="1794" width="15.28515625" customWidth="1"/>
    <col min="1795" max="1799" width="11.28515625" customWidth="1"/>
    <col min="1800" max="1801" width="11.42578125" customWidth="1"/>
    <col min="1802" max="1802" width="12.7109375" customWidth="1"/>
    <col min="1803" max="1806" width="11.42578125" customWidth="1"/>
    <col min="1807" max="1807" width="14.7109375" customWidth="1"/>
    <col min="1808" max="1809" width="11.42578125" customWidth="1"/>
    <col min="1811" max="2048" width="11.42578125" customWidth="1"/>
    <col min="2049" max="2049" width="2.28515625" customWidth="1"/>
    <col min="2050" max="2050" width="15.28515625" customWidth="1"/>
    <col min="2051" max="2055" width="11.28515625" customWidth="1"/>
    <col min="2056" max="2057" width="11.42578125" customWidth="1"/>
    <col min="2058" max="2058" width="12.7109375" customWidth="1"/>
    <col min="2059" max="2062" width="11.42578125" customWidth="1"/>
    <col min="2063" max="2063" width="14.7109375" customWidth="1"/>
    <col min="2064" max="2065" width="11.42578125" customWidth="1"/>
    <col min="2067" max="2304" width="11.42578125" customWidth="1"/>
    <col min="2305" max="2305" width="2.28515625" customWidth="1"/>
    <col min="2306" max="2306" width="15.28515625" customWidth="1"/>
    <col min="2307" max="2311" width="11.28515625" customWidth="1"/>
    <col min="2312" max="2313" width="11.42578125" customWidth="1"/>
    <col min="2314" max="2314" width="12.7109375" customWidth="1"/>
    <col min="2315" max="2318" width="11.42578125" customWidth="1"/>
    <col min="2319" max="2319" width="14.7109375" customWidth="1"/>
    <col min="2320" max="2321" width="11.42578125" customWidth="1"/>
    <col min="2323" max="2560" width="11.42578125" customWidth="1"/>
    <col min="2561" max="2561" width="2.28515625" customWidth="1"/>
    <col min="2562" max="2562" width="15.28515625" customWidth="1"/>
    <col min="2563" max="2567" width="11.28515625" customWidth="1"/>
    <col min="2568" max="2569" width="11.42578125" customWidth="1"/>
    <col min="2570" max="2570" width="12.7109375" customWidth="1"/>
    <col min="2571" max="2574" width="11.42578125" customWidth="1"/>
    <col min="2575" max="2575" width="14.7109375" customWidth="1"/>
    <col min="2576" max="2577" width="11.42578125" customWidth="1"/>
    <col min="2579" max="2816" width="11.42578125" customWidth="1"/>
    <col min="2817" max="2817" width="2.28515625" customWidth="1"/>
    <col min="2818" max="2818" width="15.28515625" customWidth="1"/>
    <col min="2819" max="2823" width="11.28515625" customWidth="1"/>
    <col min="2824" max="2825" width="11.42578125" customWidth="1"/>
    <col min="2826" max="2826" width="12.7109375" customWidth="1"/>
    <col min="2827" max="2830" width="11.42578125" customWidth="1"/>
    <col min="2831" max="2831" width="14.7109375" customWidth="1"/>
    <col min="2832" max="2833" width="11.42578125" customWidth="1"/>
    <col min="2835" max="3072" width="11.42578125" customWidth="1"/>
    <col min="3073" max="3073" width="2.28515625" customWidth="1"/>
    <col min="3074" max="3074" width="15.28515625" customWidth="1"/>
    <col min="3075" max="3079" width="11.28515625" customWidth="1"/>
    <col min="3080" max="3081" width="11.42578125" customWidth="1"/>
    <col min="3082" max="3082" width="12.7109375" customWidth="1"/>
    <col min="3083" max="3086" width="11.42578125" customWidth="1"/>
    <col min="3087" max="3087" width="14.7109375" customWidth="1"/>
    <col min="3088" max="3089" width="11.42578125" customWidth="1"/>
    <col min="3091" max="3328" width="11.42578125" customWidth="1"/>
    <col min="3329" max="3329" width="2.28515625" customWidth="1"/>
    <col min="3330" max="3330" width="15.28515625" customWidth="1"/>
    <col min="3331" max="3335" width="11.28515625" customWidth="1"/>
    <col min="3336" max="3337" width="11.42578125" customWidth="1"/>
    <col min="3338" max="3338" width="12.7109375" customWidth="1"/>
    <col min="3339" max="3342" width="11.42578125" customWidth="1"/>
    <col min="3343" max="3343" width="14.7109375" customWidth="1"/>
    <col min="3344" max="3345" width="11.42578125" customWidth="1"/>
    <col min="3347" max="3584" width="11.42578125" customWidth="1"/>
    <col min="3585" max="3585" width="2.28515625" customWidth="1"/>
    <col min="3586" max="3586" width="15.28515625" customWidth="1"/>
    <col min="3587" max="3591" width="11.28515625" customWidth="1"/>
    <col min="3592" max="3593" width="11.42578125" customWidth="1"/>
    <col min="3594" max="3594" width="12.7109375" customWidth="1"/>
    <col min="3595" max="3598" width="11.42578125" customWidth="1"/>
    <col min="3599" max="3599" width="14.7109375" customWidth="1"/>
    <col min="3600" max="3601" width="11.42578125" customWidth="1"/>
    <col min="3603" max="3840" width="11.42578125" customWidth="1"/>
    <col min="3841" max="3841" width="2.28515625" customWidth="1"/>
    <col min="3842" max="3842" width="15.28515625" customWidth="1"/>
    <col min="3843" max="3847" width="11.28515625" customWidth="1"/>
    <col min="3848" max="3849" width="11.42578125" customWidth="1"/>
    <col min="3850" max="3850" width="12.7109375" customWidth="1"/>
    <col min="3851" max="3854" width="11.42578125" customWidth="1"/>
    <col min="3855" max="3855" width="14.7109375" customWidth="1"/>
    <col min="3856" max="3857" width="11.42578125" customWidth="1"/>
    <col min="3859" max="4096" width="11.42578125" customWidth="1"/>
    <col min="4097" max="4097" width="2.28515625" customWidth="1"/>
    <col min="4098" max="4098" width="15.28515625" customWidth="1"/>
    <col min="4099" max="4103" width="11.28515625" customWidth="1"/>
    <col min="4104" max="4105" width="11.42578125" customWidth="1"/>
    <col min="4106" max="4106" width="12.7109375" customWidth="1"/>
    <col min="4107" max="4110" width="11.42578125" customWidth="1"/>
    <col min="4111" max="4111" width="14.7109375" customWidth="1"/>
    <col min="4112" max="4113" width="11.42578125" customWidth="1"/>
    <col min="4115" max="4352" width="11.42578125" customWidth="1"/>
    <col min="4353" max="4353" width="2.28515625" customWidth="1"/>
    <col min="4354" max="4354" width="15.28515625" customWidth="1"/>
    <col min="4355" max="4359" width="11.28515625" customWidth="1"/>
    <col min="4360" max="4361" width="11.42578125" customWidth="1"/>
    <col min="4362" max="4362" width="12.7109375" customWidth="1"/>
    <col min="4363" max="4366" width="11.42578125" customWidth="1"/>
    <col min="4367" max="4367" width="14.7109375" customWidth="1"/>
    <col min="4368" max="4369" width="11.42578125" customWidth="1"/>
    <col min="4371" max="4608" width="11.42578125" customWidth="1"/>
    <col min="4609" max="4609" width="2.28515625" customWidth="1"/>
    <col min="4610" max="4610" width="15.28515625" customWidth="1"/>
    <col min="4611" max="4615" width="11.28515625" customWidth="1"/>
    <col min="4616" max="4617" width="11.42578125" customWidth="1"/>
    <col min="4618" max="4618" width="12.7109375" customWidth="1"/>
    <col min="4619" max="4622" width="11.42578125" customWidth="1"/>
    <col min="4623" max="4623" width="14.7109375" customWidth="1"/>
    <col min="4624" max="4625" width="11.42578125" customWidth="1"/>
    <col min="4627" max="4864" width="11.42578125" customWidth="1"/>
    <col min="4865" max="4865" width="2.28515625" customWidth="1"/>
    <col min="4866" max="4866" width="15.28515625" customWidth="1"/>
    <col min="4867" max="4871" width="11.28515625" customWidth="1"/>
    <col min="4872" max="4873" width="11.42578125" customWidth="1"/>
    <col min="4874" max="4874" width="12.7109375" customWidth="1"/>
    <col min="4875" max="4878" width="11.42578125" customWidth="1"/>
    <col min="4879" max="4879" width="14.7109375" customWidth="1"/>
    <col min="4880" max="4881" width="11.42578125" customWidth="1"/>
    <col min="4883" max="5120" width="11.42578125" customWidth="1"/>
    <col min="5121" max="5121" width="2.28515625" customWidth="1"/>
    <col min="5122" max="5122" width="15.28515625" customWidth="1"/>
    <col min="5123" max="5127" width="11.28515625" customWidth="1"/>
    <col min="5128" max="5129" width="11.42578125" customWidth="1"/>
    <col min="5130" max="5130" width="12.7109375" customWidth="1"/>
    <col min="5131" max="5134" width="11.42578125" customWidth="1"/>
    <col min="5135" max="5135" width="14.7109375" customWidth="1"/>
    <col min="5136" max="5137" width="11.42578125" customWidth="1"/>
    <col min="5139" max="5376" width="11.42578125" customWidth="1"/>
    <col min="5377" max="5377" width="2.28515625" customWidth="1"/>
    <col min="5378" max="5378" width="15.28515625" customWidth="1"/>
    <col min="5379" max="5383" width="11.28515625" customWidth="1"/>
    <col min="5384" max="5385" width="11.42578125" customWidth="1"/>
    <col min="5386" max="5386" width="12.7109375" customWidth="1"/>
    <col min="5387" max="5390" width="11.42578125" customWidth="1"/>
    <col min="5391" max="5391" width="14.7109375" customWidth="1"/>
    <col min="5392" max="5393" width="11.42578125" customWidth="1"/>
    <col min="5395" max="5632" width="11.42578125" customWidth="1"/>
    <col min="5633" max="5633" width="2.28515625" customWidth="1"/>
    <col min="5634" max="5634" width="15.28515625" customWidth="1"/>
    <col min="5635" max="5639" width="11.28515625" customWidth="1"/>
    <col min="5640" max="5641" width="11.42578125" customWidth="1"/>
    <col min="5642" max="5642" width="12.7109375" customWidth="1"/>
    <col min="5643" max="5646" width="11.42578125" customWidth="1"/>
    <col min="5647" max="5647" width="14.7109375" customWidth="1"/>
    <col min="5648" max="5649" width="11.42578125" customWidth="1"/>
    <col min="5651" max="5888" width="11.42578125" customWidth="1"/>
    <col min="5889" max="5889" width="2.28515625" customWidth="1"/>
    <col min="5890" max="5890" width="15.28515625" customWidth="1"/>
    <col min="5891" max="5895" width="11.28515625" customWidth="1"/>
    <col min="5896" max="5897" width="11.42578125" customWidth="1"/>
    <col min="5898" max="5898" width="12.7109375" customWidth="1"/>
    <col min="5899" max="5902" width="11.42578125" customWidth="1"/>
    <col min="5903" max="5903" width="14.7109375" customWidth="1"/>
    <col min="5904" max="5905" width="11.42578125" customWidth="1"/>
    <col min="5907" max="6144" width="11.42578125" customWidth="1"/>
    <col min="6145" max="6145" width="2.28515625" customWidth="1"/>
    <col min="6146" max="6146" width="15.28515625" customWidth="1"/>
    <col min="6147" max="6151" width="11.28515625" customWidth="1"/>
    <col min="6152" max="6153" width="11.42578125" customWidth="1"/>
    <col min="6154" max="6154" width="12.7109375" customWidth="1"/>
    <col min="6155" max="6158" width="11.42578125" customWidth="1"/>
    <col min="6159" max="6159" width="14.7109375" customWidth="1"/>
    <col min="6160" max="6161" width="11.42578125" customWidth="1"/>
    <col min="6163" max="6400" width="11.42578125" customWidth="1"/>
    <col min="6401" max="6401" width="2.28515625" customWidth="1"/>
    <col min="6402" max="6402" width="15.28515625" customWidth="1"/>
    <col min="6403" max="6407" width="11.28515625" customWidth="1"/>
    <col min="6408" max="6409" width="11.42578125" customWidth="1"/>
    <col min="6410" max="6410" width="12.7109375" customWidth="1"/>
    <col min="6411" max="6414" width="11.42578125" customWidth="1"/>
    <col min="6415" max="6415" width="14.7109375" customWidth="1"/>
    <col min="6416" max="6417" width="11.42578125" customWidth="1"/>
    <col min="6419" max="6656" width="11.42578125" customWidth="1"/>
    <col min="6657" max="6657" width="2.28515625" customWidth="1"/>
    <col min="6658" max="6658" width="15.28515625" customWidth="1"/>
    <col min="6659" max="6663" width="11.28515625" customWidth="1"/>
    <col min="6664" max="6665" width="11.42578125" customWidth="1"/>
    <col min="6666" max="6666" width="12.7109375" customWidth="1"/>
    <col min="6667" max="6670" width="11.42578125" customWidth="1"/>
    <col min="6671" max="6671" width="14.7109375" customWidth="1"/>
    <col min="6672" max="6673" width="11.42578125" customWidth="1"/>
    <col min="6675" max="6912" width="11.42578125" customWidth="1"/>
    <col min="6913" max="6913" width="2.28515625" customWidth="1"/>
    <col min="6914" max="6914" width="15.28515625" customWidth="1"/>
    <col min="6915" max="6919" width="11.28515625" customWidth="1"/>
    <col min="6920" max="6921" width="11.42578125" customWidth="1"/>
    <col min="6922" max="6922" width="12.7109375" customWidth="1"/>
    <col min="6923" max="6926" width="11.42578125" customWidth="1"/>
    <col min="6927" max="6927" width="14.7109375" customWidth="1"/>
    <col min="6928" max="6929" width="11.42578125" customWidth="1"/>
    <col min="6931" max="7168" width="11.42578125" customWidth="1"/>
    <col min="7169" max="7169" width="2.28515625" customWidth="1"/>
    <col min="7170" max="7170" width="15.28515625" customWidth="1"/>
    <col min="7171" max="7175" width="11.28515625" customWidth="1"/>
    <col min="7176" max="7177" width="11.42578125" customWidth="1"/>
    <col min="7178" max="7178" width="12.7109375" customWidth="1"/>
    <col min="7179" max="7182" width="11.42578125" customWidth="1"/>
    <col min="7183" max="7183" width="14.7109375" customWidth="1"/>
    <col min="7184" max="7185" width="11.42578125" customWidth="1"/>
    <col min="7187" max="7424" width="11.42578125" customWidth="1"/>
    <col min="7425" max="7425" width="2.28515625" customWidth="1"/>
    <col min="7426" max="7426" width="15.28515625" customWidth="1"/>
    <col min="7427" max="7431" width="11.28515625" customWidth="1"/>
    <col min="7432" max="7433" width="11.42578125" customWidth="1"/>
    <col min="7434" max="7434" width="12.7109375" customWidth="1"/>
    <col min="7435" max="7438" width="11.42578125" customWidth="1"/>
    <col min="7439" max="7439" width="14.7109375" customWidth="1"/>
    <col min="7440" max="7441" width="11.42578125" customWidth="1"/>
    <col min="7443" max="7680" width="11.42578125" customWidth="1"/>
    <col min="7681" max="7681" width="2.28515625" customWidth="1"/>
    <col min="7682" max="7682" width="15.28515625" customWidth="1"/>
    <col min="7683" max="7687" width="11.28515625" customWidth="1"/>
    <col min="7688" max="7689" width="11.42578125" customWidth="1"/>
    <col min="7690" max="7690" width="12.7109375" customWidth="1"/>
    <col min="7691" max="7694" width="11.42578125" customWidth="1"/>
    <col min="7695" max="7695" width="14.7109375" customWidth="1"/>
    <col min="7696" max="7697" width="11.42578125" customWidth="1"/>
    <col min="7699" max="7936" width="11.42578125" customWidth="1"/>
    <col min="7937" max="7937" width="2.28515625" customWidth="1"/>
    <col min="7938" max="7938" width="15.28515625" customWidth="1"/>
    <col min="7939" max="7943" width="11.28515625" customWidth="1"/>
    <col min="7944" max="7945" width="11.42578125" customWidth="1"/>
    <col min="7946" max="7946" width="12.7109375" customWidth="1"/>
    <col min="7947" max="7950" width="11.42578125" customWidth="1"/>
    <col min="7951" max="7951" width="14.7109375" customWidth="1"/>
    <col min="7952" max="7953" width="11.42578125" customWidth="1"/>
    <col min="7955" max="8192" width="11.42578125" customWidth="1"/>
    <col min="8193" max="8193" width="2.28515625" customWidth="1"/>
    <col min="8194" max="8194" width="15.28515625" customWidth="1"/>
    <col min="8195" max="8199" width="11.28515625" customWidth="1"/>
    <col min="8200" max="8201" width="11.42578125" customWidth="1"/>
    <col min="8202" max="8202" width="12.7109375" customWidth="1"/>
    <col min="8203" max="8206" width="11.42578125" customWidth="1"/>
    <col min="8207" max="8207" width="14.7109375" customWidth="1"/>
    <col min="8208" max="8209" width="11.42578125" customWidth="1"/>
    <col min="8211" max="8448" width="11.42578125" customWidth="1"/>
    <col min="8449" max="8449" width="2.28515625" customWidth="1"/>
    <col min="8450" max="8450" width="15.28515625" customWidth="1"/>
    <col min="8451" max="8455" width="11.28515625" customWidth="1"/>
    <col min="8456" max="8457" width="11.42578125" customWidth="1"/>
    <col min="8458" max="8458" width="12.7109375" customWidth="1"/>
    <col min="8459" max="8462" width="11.42578125" customWidth="1"/>
    <col min="8463" max="8463" width="14.7109375" customWidth="1"/>
    <col min="8464" max="8465" width="11.42578125" customWidth="1"/>
    <col min="8467" max="8704" width="11.42578125" customWidth="1"/>
    <col min="8705" max="8705" width="2.28515625" customWidth="1"/>
    <col min="8706" max="8706" width="15.28515625" customWidth="1"/>
    <col min="8707" max="8711" width="11.28515625" customWidth="1"/>
    <col min="8712" max="8713" width="11.42578125" customWidth="1"/>
    <col min="8714" max="8714" width="12.7109375" customWidth="1"/>
    <col min="8715" max="8718" width="11.42578125" customWidth="1"/>
    <col min="8719" max="8719" width="14.7109375" customWidth="1"/>
    <col min="8720" max="8721" width="11.42578125" customWidth="1"/>
    <col min="8723" max="8960" width="11.42578125" customWidth="1"/>
    <col min="8961" max="8961" width="2.28515625" customWidth="1"/>
    <col min="8962" max="8962" width="15.28515625" customWidth="1"/>
    <col min="8963" max="8967" width="11.28515625" customWidth="1"/>
    <col min="8968" max="8969" width="11.42578125" customWidth="1"/>
    <col min="8970" max="8970" width="12.7109375" customWidth="1"/>
    <col min="8971" max="8974" width="11.42578125" customWidth="1"/>
    <col min="8975" max="8975" width="14.7109375" customWidth="1"/>
    <col min="8976" max="8977" width="11.42578125" customWidth="1"/>
    <col min="8979" max="9216" width="11.42578125" customWidth="1"/>
    <col min="9217" max="9217" width="2.28515625" customWidth="1"/>
    <col min="9218" max="9218" width="15.28515625" customWidth="1"/>
    <col min="9219" max="9223" width="11.28515625" customWidth="1"/>
    <col min="9224" max="9225" width="11.42578125" customWidth="1"/>
    <col min="9226" max="9226" width="12.7109375" customWidth="1"/>
    <col min="9227" max="9230" width="11.42578125" customWidth="1"/>
    <col min="9231" max="9231" width="14.7109375" customWidth="1"/>
    <col min="9232" max="9233" width="11.42578125" customWidth="1"/>
    <col min="9235" max="9472" width="11.42578125" customWidth="1"/>
    <col min="9473" max="9473" width="2.28515625" customWidth="1"/>
    <col min="9474" max="9474" width="15.28515625" customWidth="1"/>
    <col min="9475" max="9479" width="11.28515625" customWidth="1"/>
    <col min="9480" max="9481" width="11.42578125" customWidth="1"/>
    <col min="9482" max="9482" width="12.7109375" customWidth="1"/>
    <col min="9483" max="9486" width="11.42578125" customWidth="1"/>
    <col min="9487" max="9487" width="14.7109375" customWidth="1"/>
    <col min="9488" max="9489" width="11.42578125" customWidth="1"/>
    <col min="9491" max="9728" width="11.42578125" customWidth="1"/>
    <col min="9729" max="9729" width="2.28515625" customWidth="1"/>
    <col min="9730" max="9730" width="15.28515625" customWidth="1"/>
    <col min="9731" max="9735" width="11.28515625" customWidth="1"/>
    <col min="9736" max="9737" width="11.42578125" customWidth="1"/>
    <col min="9738" max="9738" width="12.7109375" customWidth="1"/>
    <col min="9739" max="9742" width="11.42578125" customWidth="1"/>
    <col min="9743" max="9743" width="14.7109375" customWidth="1"/>
    <col min="9744" max="9745" width="11.42578125" customWidth="1"/>
    <col min="9747" max="9984" width="11.42578125" customWidth="1"/>
    <col min="9985" max="9985" width="2.28515625" customWidth="1"/>
    <col min="9986" max="9986" width="15.28515625" customWidth="1"/>
    <col min="9987" max="9991" width="11.28515625" customWidth="1"/>
    <col min="9992" max="9993" width="11.42578125" customWidth="1"/>
    <col min="9994" max="9994" width="12.7109375" customWidth="1"/>
    <col min="9995" max="9998" width="11.42578125" customWidth="1"/>
    <col min="9999" max="9999" width="14.7109375" customWidth="1"/>
    <col min="10000" max="10001" width="11.42578125" customWidth="1"/>
    <col min="10003" max="10240" width="11.42578125" customWidth="1"/>
    <col min="10241" max="10241" width="2.28515625" customWidth="1"/>
    <col min="10242" max="10242" width="15.28515625" customWidth="1"/>
    <col min="10243" max="10247" width="11.28515625" customWidth="1"/>
    <col min="10248" max="10249" width="11.42578125" customWidth="1"/>
    <col min="10250" max="10250" width="12.7109375" customWidth="1"/>
    <col min="10251" max="10254" width="11.42578125" customWidth="1"/>
    <col min="10255" max="10255" width="14.7109375" customWidth="1"/>
    <col min="10256" max="10257" width="11.42578125" customWidth="1"/>
    <col min="10259" max="10496" width="11.42578125" customWidth="1"/>
    <col min="10497" max="10497" width="2.28515625" customWidth="1"/>
    <col min="10498" max="10498" width="15.28515625" customWidth="1"/>
    <col min="10499" max="10503" width="11.28515625" customWidth="1"/>
    <col min="10504" max="10505" width="11.42578125" customWidth="1"/>
    <col min="10506" max="10506" width="12.7109375" customWidth="1"/>
    <col min="10507" max="10510" width="11.42578125" customWidth="1"/>
    <col min="10511" max="10511" width="14.7109375" customWidth="1"/>
    <col min="10512" max="10513" width="11.42578125" customWidth="1"/>
    <col min="10515" max="10752" width="11.42578125" customWidth="1"/>
    <col min="10753" max="10753" width="2.28515625" customWidth="1"/>
    <col min="10754" max="10754" width="15.28515625" customWidth="1"/>
    <col min="10755" max="10759" width="11.28515625" customWidth="1"/>
    <col min="10760" max="10761" width="11.42578125" customWidth="1"/>
    <col min="10762" max="10762" width="12.7109375" customWidth="1"/>
    <col min="10763" max="10766" width="11.42578125" customWidth="1"/>
    <col min="10767" max="10767" width="14.7109375" customWidth="1"/>
    <col min="10768" max="10769" width="11.42578125" customWidth="1"/>
    <col min="10771" max="11008" width="11.42578125" customWidth="1"/>
    <col min="11009" max="11009" width="2.28515625" customWidth="1"/>
    <col min="11010" max="11010" width="15.28515625" customWidth="1"/>
    <col min="11011" max="11015" width="11.28515625" customWidth="1"/>
    <col min="11016" max="11017" width="11.42578125" customWidth="1"/>
    <col min="11018" max="11018" width="12.7109375" customWidth="1"/>
    <col min="11019" max="11022" width="11.42578125" customWidth="1"/>
    <col min="11023" max="11023" width="14.7109375" customWidth="1"/>
    <col min="11024" max="11025" width="11.42578125" customWidth="1"/>
    <col min="11027" max="11264" width="11.42578125" customWidth="1"/>
    <col min="11265" max="11265" width="2.28515625" customWidth="1"/>
    <col min="11266" max="11266" width="15.28515625" customWidth="1"/>
    <col min="11267" max="11271" width="11.28515625" customWidth="1"/>
    <col min="11272" max="11273" width="11.42578125" customWidth="1"/>
    <col min="11274" max="11274" width="12.7109375" customWidth="1"/>
    <col min="11275" max="11278" width="11.42578125" customWidth="1"/>
    <col min="11279" max="11279" width="14.7109375" customWidth="1"/>
    <col min="11280" max="11281" width="11.42578125" customWidth="1"/>
    <col min="11283" max="11520" width="11.42578125" customWidth="1"/>
    <col min="11521" max="11521" width="2.28515625" customWidth="1"/>
    <col min="11522" max="11522" width="15.28515625" customWidth="1"/>
    <col min="11523" max="11527" width="11.28515625" customWidth="1"/>
    <col min="11528" max="11529" width="11.42578125" customWidth="1"/>
    <col min="11530" max="11530" width="12.7109375" customWidth="1"/>
    <col min="11531" max="11534" width="11.42578125" customWidth="1"/>
    <col min="11535" max="11535" width="14.7109375" customWidth="1"/>
    <col min="11536" max="11537" width="11.42578125" customWidth="1"/>
    <col min="11539" max="11776" width="11.42578125" customWidth="1"/>
    <col min="11777" max="11777" width="2.28515625" customWidth="1"/>
    <col min="11778" max="11778" width="15.28515625" customWidth="1"/>
    <col min="11779" max="11783" width="11.28515625" customWidth="1"/>
    <col min="11784" max="11785" width="11.42578125" customWidth="1"/>
    <col min="11786" max="11786" width="12.7109375" customWidth="1"/>
    <col min="11787" max="11790" width="11.42578125" customWidth="1"/>
    <col min="11791" max="11791" width="14.7109375" customWidth="1"/>
    <col min="11792" max="11793" width="11.42578125" customWidth="1"/>
    <col min="11795" max="12032" width="11.42578125" customWidth="1"/>
    <col min="12033" max="12033" width="2.28515625" customWidth="1"/>
    <col min="12034" max="12034" width="15.28515625" customWidth="1"/>
    <col min="12035" max="12039" width="11.28515625" customWidth="1"/>
    <col min="12040" max="12041" width="11.42578125" customWidth="1"/>
    <col min="12042" max="12042" width="12.7109375" customWidth="1"/>
    <col min="12043" max="12046" width="11.42578125" customWidth="1"/>
    <col min="12047" max="12047" width="14.7109375" customWidth="1"/>
    <col min="12048" max="12049" width="11.42578125" customWidth="1"/>
    <col min="12051" max="12288" width="11.42578125" customWidth="1"/>
    <col min="12289" max="12289" width="2.28515625" customWidth="1"/>
    <col min="12290" max="12290" width="15.28515625" customWidth="1"/>
    <col min="12291" max="12295" width="11.28515625" customWidth="1"/>
    <col min="12296" max="12297" width="11.42578125" customWidth="1"/>
    <col min="12298" max="12298" width="12.7109375" customWidth="1"/>
    <col min="12299" max="12302" width="11.42578125" customWidth="1"/>
    <col min="12303" max="12303" width="14.7109375" customWidth="1"/>
    <col min="12304" max="12305" width="11.42578125" customWidth="1"/>
    <col min="12307" max="12544" width="11.42578125" customWidth="1"/>
    <col min="12545" max="12545" width="2.28515625" customWidth="1"/>
    <col min="12546" max="12546" width="15.28515625" customWidth="1"/>
    <col min="12547" max="12551" width="11.28515625" customWidth="1"/>
    <col min="12552" max="12553" width="11.42578125" customWidth="1"/>
    <col min="12554" max="12554" width="12.7109375" customWidth="1"/>
    <col min="12555" max="12558" width="11.42578125" customWidth="1"/>
    <col min="12559" max="12559" width="14.7109375" customWidth="1"/>
    <col min="12560" max="12561" width="11.42578125" customWidth="1"/>
    <col min="12563" max="12800" width="11.42578125" customWidth="1"/>
    <col min="12801" max="12801" width="2.28515625" customWidth="1"/>
    <col min="12802" max="12802" width="15.28515625" customWidth="1"/>
    <col min="12803" max="12807" width="11.28515625" customWidth="1"/>
    <col min="12808" max="12809" width="11.42578125" customWidth="1"/>
    <col min="12810" max="12810" width="12.7109375" customWidth="1"/>
    <col min="12811" max="12814" width="11.42578125" customWidth="1"/>
    <col min="12815" max="12815" width="14.7109375" customWidth="1"/>
    <col min="12816" max="12817" width="11.42578125" customWidth="1"/>
    <col min="12819" max="13056" width="11.42578125" customWidth="1"/>
    <col min="13057" max="13057" width="2.28515625" customWidth="1"/>
    <col min="13058" max="13058" width="15.28515625" customWidth="1"/>
    <col min="13059" max="13063" width="11.28515625" customWidth="1"/>
    <col min="13064" max="13065" width="11.42578125" customWidth="1"/>
    <col min="13066" max="13066" width="12.7109375" customWidth="1"/>
    <col min="13067" max="13070" width="11.42578125" customWidth="1"/>
    <col min="13071" max="13071" width="14.7109375" customWidth="1"/>
    <col min="13072" max="13073" width="11.42578125" customWidth="1"/>
    <col min="13075" max="13312" width="11.42578125" customWidth="1"/>
    <col min="13313" max="13313" width="2.28515625" customWidth="1"/>
    <col min="13314" max="13314" width="15.28515625" customWidth="1"/>
    <col min="13315" max="13319" width="11.28515625" customWidth="1"/>
    <col min="13320" max="13321" width="11.42578125" customWidth="1"/>
    <col min="13322" max="13322" width="12.7109375" customWidth="1"/>
    <col min="13323" max="13326" width="11.42578125" customWidth="1"/>
    <col min="13327" max="13327" width="14.7109375" customWidth="1"/>
    <col min="13328" max="13329" width="11.42578125" customWidth="1"/>
    <col min="13331" max="13568" width="11.42578125" customWidth="1"/>
    <col min="13569" max="13569" width="2.28515625" customWidth="1"/>
    <col min="13570" max="13570" width="15.28515625" customWidth="1"/>
    <col min="13571" max="13575" width="11.28515625" customWidth="1"/>
    <col min="13576" max="13577" width="11.42578125" customWidth="1"/>
    <col min="13578" max="13578" width="12.7109375" customWidth="1"/>
    <col min="13579" max="13582" width="11.42578125" customWidth="1"/>
    <col min="13583" max="13583" width="14.7109375" customWidth="1"/>
    <col min="13584" max="13585" width="11.42578125" customWidth="1"/>
    <col min="13587" max="13824" width="11.42578125" customWidth="1"/>
    <col min="13825" max="13825" width="2.28515625" customWidth="1"/>
    <col min="13826" max="13826" width="15.28515625" customWidth="1"/>
    <col min="13827" max="13831" width="11.28515625" customWidth="1"/>
    <col min="13832" max="13833" width="11.42578125" customWidth="1"/>
    <col min="13834" max="13834" width="12.7109375" customWidth="1"/>
    <col min="13835" max="13838" width="11.42578125" customWidth="1"/>
    <col min="13839" max="13839" width="14.7109375" customWidth="1"/>
    <col min="13840" max="13841" width="11.42578125" customWidth="1"/>
    <col min="13843" max="14080" width="11.42578125" customWidth="1"/>
    <col min="14081" max="14081" width="2.28515625" customWidth="1"/>
    <col min="14082" max="14082" width="15.28515625" customWidth="1"/>
    <col min="14083" max="14087" width="11.28515625" customWidth="1"/>
    <col min="14088" max="14089" width="11.42578125" customWidth="1"/>
    <col min="14090" max="14090" width="12.7109375" customWidth="1"/>
    <col min="14091" max="14094" width="11.42578125" customWidth="1"/>
    <col min="14095" max="14095" width="14.7109375" customWidth="1"/>
    <col min="14096" max="14097" width="11.42578125" customWidth="1"/>
    <col min="14099" max="14336" width="11.42578125" customWidth="1"/>
    <col min="14337" max="14337" width="2.28515625" customWidth="1"/>
    <col min="14338" max="14338" width="15.28515625" customWidth="1"/>
    <col min="14339" max="14343" width="11.28515625" customWidth="1"/>
    <col min="14344" max="14345" width="11.42578125" customWidth="1"/>
    <col min="14346" max="14346" width="12.7109375" customWidth="1"/>
    <col min="14347" max="14350" width="11.42578125" customWidth="1"/>
    <col min="14351" max="14351" width="14.7109375" customWidth="1"/>
    <col min="14352" max="14353" width="11.42578125" customWidth="1"/>
    <col min="14355" max="14592" width="11.42578125" customWidth="1"/>
    <col min="14593" max="14593" width="2.28515625" customWidth="1"/>
    <col min="14594" max="14594" width="15.28515625" customWidth="1"/>
    <col min="14595" max="14599" width="11.28515625" customWidth="1"/>
    <col min="14600" max="14601" width="11.42578125" customWidth="1"/>
    <col min="14602" max="14602" width="12.7109375" customWidth="1"/>
    <col min="14603" max="14606" width="11.42578125" customWidth="1"/>
    <col min="14607" max="14607" width="14.7109375" customWidth="1"/>
    <col min="14608" max="14609" width="11.42578125" customWidth="1"/>
    <col min="14611" max="14848" width="11.42578125" customWidth="1"/>
    <col min="14849" max="14849" width="2.28515625" customWidth="1"/>
    <col min="14850" max="14850" width="15.28515625" customWidth="1"/>
    <col min="14851" max="14855" width="11.28515625" customWidth="1"/>
    <col min="14856" max="14857" width="11.42578125" customWidth="1"/>
    <col min="14858" max="14858" width="12.7109375" customWidth="1"/>
    <col min="14859" max="14862" width="11.42578125" customWidth="1"/>
    <col min="14863" max="14863" width="14.7109375" customWidth="1"/>
    <col min="14864" max="14865" width="11.42578125" customWidth="1"/>
    <col min="14867" max="15104" width="11.42578125" customWidth="1"/>
    <col min="15105" max="15105" width="2.28515625" customWidth="1"/>
    <col min="15106" max="15106" width="15.28515625" customWidth="1"/>
    <col min="15107" max="15111" width="11.28515625" customWidth="1"/>
    <col min="15112" max="15113" width="11.42578125" customWidth="1"/>
    <col min="15114" max="15114" width="12.7109375" customWidth="1"/>
    <col min="15115" max="15118" width="11.42578125" customWidth="1"/>
    <col min="15119" max="15119" width="14.7109375" customWidth="1"/>
    <col min="15120" max="15121" width="11.42578125" customWidth="1"/>
    <col min="15123" max="15360" width="11.42578125" customWidth="1"/>
    <col min="15361" max="15361" width="2.28515625" customWidth="1"/>
    <col min="15362" max="15362" width="15.28515625" customWidth="1"/>
    <col min="15363" max="15367" width="11.28515625" customWidth="1"/>
    <col min="15368" max="15369" width="11.42578125" customWidth="1"/>
    <col min="15370" max="15370" width="12.7109375" customWidth="1"/>
    <col min="15371" max="15374" width="11.42578125" customWidth="1"/>
    <col min="15375" max="15375" width="14.7109375" customWidth="1"/>
    <col min="15376" max="15377" width="11.42578125" customWidth="1"/>
    <col min="15379" max="15616" width="11.42578125" customWidth="1"/>
    <col min="15617" max="15617" width="2.28515625" customWidth="1"/>
    <col min="15618" max="15618" width="15.28515625" customWidth="1"/>
    <col min="15619" max="15623" width="11.28515625" customWidth="1"/>
    <col min="15624" max="15625" width="11.42578125" customWidth="1"/>
    <col min="15626" max="15626" width="12.7109375" customWidth="1"/>
    <col min="15627" max="15630" width="11.42578125" customWidth="1"/>
    <col min="15631" max="15631" width="14.7109375" customWidth="1"/>
    <col min="15632" max="15633" width="11.42578125" customWidth="1"/>
    <col min="15635" max="15872" width="11.42578125" customWidth="1"/>
    <col min="15873" max="15873" width="2.28515625" customWidth="1"/>
    <col min="15874" max="15874" width="15.28515625" customWidth="1"/>
    <col min="15875" max="15879" width="11.28515625" customWidth="1"/>
    <col min="15880" max="15881" width="11.42578125" customWidth="1"/>
    <col min="15882" max="15882" width="12.7109375" customWidth="1"/>
    <col min="15883" max="15886" width="11.42578125" customWidth="1"/>
    <col min="15887" max="15887" width="14.7109375" customWidth="1"/>
    <col min="15888" max="15889" width="11.42578125" customWidth="1"/>
    <col min="15891" max="16128" width="11.42578125" customWidth="1"/>
    <col min="16129" max="16129" width="2.28515625" customWidth="1"/>
    <col min="16130" max="16130" width="15.28515625" customWidth="1"/>
    <col min="16131" max="16135" width="11.28515625" customWidth="1"/>
    <col min="16136" max="16137" width="11.42578125" customWidth="1"/>
    <col min="16138" max="16138" width="12.7109375" customWidth="1"/>
    <col min="16139" max="16142" width="11.42578125" customWidth="1"/>
    <col min="16143" max="16143" width="14.7109375" customWidth="1"/>
    <col min="16144" max="16145" width="11.42578125" customWidth="1"/>
    <col min="16147" max="16384" width="11.42578125" customWidth="1"/>
  </cols>
  <sheetData>
    <row r="1" spans="2:30" ht="15.75">
      <c r="B1" s="2"/>
    </row>
    <row r="2" spans="2:30" ht="18">
      <c r="B2" s="229" t="s">
        <v>240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</row>
    <row r="3" spans="2:30" ht="15.75">
      <c r="B3" s="60"/>
    </row>
    <row r="4" spans="2:30">
      <c r="B4" s="10"/>
    </row>
    <row r="5" spans="2:30">
      <c r="Z5" s="61" t="s">
        <v>143</v>
      </c>
      <c r="AA5" s="62">
        <f>IF(AA6=1,365,1)</f>
        <v>365</v>
      </c>
      <c r="AB5" s="63">
        <f>IF(AB6=1,365,1)</f>
        <v>365</v>
      </c>
    </row>
    <row r="6" spans="2:30">
      <c r="Z6" s="64" t="s">
        <v>144</v>
      </c>
      <c r="AA6" s="65">
        <v>1</v>
      </c>
      <c r="AB6" s="66">
        <v>1</v>
      </c>
    </row>
    <row r="7" spans="2:30">
      <c r="F7" s="67" t="s">
        <v>145</v>
      </c>
      <c r="Z7" s="64" t="s">
        <v>146</v>
      </c>
      <c r="AA7" s="68" t="s">
        <v>13</v>
      </c>
      <c r="AB7" s="69"/>
    </row>
    <row r="8" spans="2:30">
      <c r="E8" t="s">
        <v>147</v>
      </c>
      <c r="F8" s="70"/>
      <c r="G8" s="71"/>
      <c r="Z8" s="64" t="s">
        <v>148</v>
      </c>
      <c r="AA8" s="72" t="s">
        <v>20</v>
      </c>
      <c r="AB8" s="73"/>
      <c r="AD8" s="74" t="s">
        <v>149</v>
      </c>
    </row>
    <row r="9" spans="2:30">
      <c r="C9" s="70"/>
      <c r="D9" s="70"/>
      <c r="E9" s="70"/>
      <c r="F9" s="75" t="s">
        <v>150</v>
      </c>
      <c r="G9" s="76"/>
      <c r="Z9" s="77" t="s">
        <v>151</v>
      </c>
      <c r="AA9" s="78">
        <v>1</v>
      </c>
      <c r="AB9" s="74">
        <v>1</v>
      </c>
      <c r="AD9" s="78">
        <v>1</v>
      </c>
    </row>
    <row r="10" spans="2:30">
      <c r="C10" s="70"/>
      <c r="D10" s="71"/>
      <c r="AA10" s="78" t="s">
        <v>21</v>
      </c>
      <c r="AB10" s="78" t="s">
        <v>152</v>
      </c>
      <c r="AD10" s="78" t="s">
        <v>21</v>
      </c>
    </row>
    <row r="11" spans="2:30" ht="13.5" thickBot="1">
      <c r="C11" s="79" t="s">
        <v>153</v>
      </c>
      <c r="D11" s="76"/>
      <c r="J11" s="79" t="s">
        <v>154</v>
      </c>
      <c r="K11" s="76"/>
      <c r="AA11" s="80" t="s">
        <v>23</v>
      </c>
      <c r="AB11" s="78" t="s">
        <v>155</v>
      </c>
      <c r="AD11" s="80" t="s">
        <v>23</v>
      </c>
    </row>
    <row r="12" spans="2:30">
      <c r="C12" s="81" t="s">
        <v>156</v>
      </c>
      <c r="D12" s="82"/>
      <c r="E12" s="83" t="s">
        <v>157</v>
      </c>
      <c r="F12" s="84"/>
      <c r="J12" s="81" t="s">
        <v>156</v>
      </c>
      <c r="K12" s="84"/>
      <c r="L12" s="85" t="s">
        <v>158</v>
      </c>
      <c r="X12" s="86"/>
      <c r="Y12" s="87"/>
      <c r="Z12" s="88" t="s">
        <v>159</v>
      </c>
      <c r="AA12" s="89" t="s">
        <v>160</v>
      </c>
      <c r="AB12" s="89" t="s">
        <v>161</v>
      </c>
      <c r="AC12" s="89" t="s">
        <v>162</v>
      </c>
      <c r="AD12" s="90" t="s">
        <v>163</v>
      </c>
    </row>
    <row r="13" spans="2:30" ht="13.5" thickBot="1">
      <c r="C13" s="91" t="s">
        <v>164</v>
      </c>
      <c r="D13" s="92">
        <v>3.25</v>
      </c>
      <c r="E13" s="93" t="s">
        <v>165</v>
      </c>
      <c r="F13" s="94">
        <v>1</v>
      </c>
      <c r="J13" s="91" t="s">
        <v>164</v>
      </c>
      <c r="K13" s="95">
        <v>3.25</v>
      </c>
      <c r="L13" s="96">
        <v>35</v>
      </c>
      <c r="X13" s="97">
        <v>1</v>
      </c>
      <c r="Y13" s="98"/>
      <c r="Z13" s="99" t="s">
        <v>166</v>
      </c>
      <c r="AA13" s="100" t="s">
        <v>167</v>
      </c>
      <c r="AB13" s="100" t="s">
        <v>168</v>
      </c>
      <c r="AC13" s="100" t="s">
        <v>169</v>
      </c>
      <c r="AD13" s="90" t="s">
        <v>170</v>
      </c>
    </row>
    <row r="14" spans="2:30" ht="13.5" thickBot="1">
      <c r="C14" s="101" t="s">
        <v>171</v>
      </c>
      <c r="D14" s="102">
        <v>5</v>
      </c>
      <c r="E14" s="103" t="s">
        <v>172</v>
      </c>
      <c r="F14" s="104">
        <v>180</v>
      </c>
      <c r="J14" s="101" t="s">
        <v>171</v>
      </c>
      <c r="K14" s="105">
        <v>5</v>
      </c>
      <c r="X14" s="97">
        <v>5</v>
      </c>
      <c r="Y14" s="106" t="str">
        <f>INDEX(Z23:AD23,X13)</f>
        <v>dddv</v>
      </c>
      <c r="Z14" s="99" t="s">
        <v>173</v>
      </c>
      <c r="AA14" s="100" t="s">
        <v>174</v>
      </c>
      <c r="AB14" s="100" t="s">
        <v>175</v>
      </c>
      <c r="AC14" s="100" t="s">
        <v>176</v>
      </c>
      <c r="AD14" s="90" t="s">
        <v>177</v>
      </c>
    </row>
    <row r="15" spans="2:30">
      <c r="X15" s="97"/>
      <c r="Y15" s="98"/>
      <c r="Z15" s="99" t="s">
        <v>119</v>
      </c>
      <c r="AA15" s="100" t="s">
        <v>178</v>
      </c>
      <c r="AB15" s="100" t="s">
        <v>179</v>
      </c>
      <c r="AC15" s="100" t="s">
        <v>180</v>
      </c>
      <c r="AD15" s="90" t="s">
        <v>181</v>
      </c>
    </row>
    <row r="16" spans="2:30">
      <c r="X16" s="97"/>
      <c r="Y16" s="98"/>
      <c r="Z16" s="107" t="s">
        <v>182</v>
      </c>
      <c r="AA16" s="100" t="s">
        <v>91</v>
      </c>
      <c r="AB16" s="100" t="s">
        <v>104</v>
      </c>
      <c r="AC16" s="100" t="s">
        <v>183</v>
      </c>
      <c r="AD16" s="108" t="str">
        <f>""</f>
        <v/>
      </c>
    </row>
    <row r="17" spans="2:30">
      <c r="X17" s="97"/>
      <c r="Y17" s="98"/>
      <c r="Z17" s="107" t="s">
        <v>184</v>
      </c>
      <c r="AA17" s="100" t="s">
        <v>185</v>
      </c>
      <c r="AB17" s="100" t="s">
        <v>186</v>
      </c>
      <c r="AC17" s="100" t="s">
        <v>187</v>
      </c>
      <c r="AD17" s="108" t="str">
        <f>""</f>
        <v/>
      </c>
    </row>
    <row r="18" spans="2:30">
      <c r="X18" s="97"/>
      <c r="Y18" s="98" t="str">
        <f t="shared" ref="Y18:Y28" si="0">INDEX(Z12:AD12,$X$13)</f>
        <v>Spot Delta</v>
      </c>
      <c r="Z18" s="107" t="str">
        <f>""</f>
        <v/>
      </c>
      <c r="AA18" s="100" t="s">
        <v>188</v>
      </c>
      <c r="AB18" s="100" t="s">
        <v>189</v>
      </c>
      <c r="AC18" s="100" t="s">
        <v>190</v>
      </c>
      <c r="AD18" s="108" t="str">
        <f>""</f>
        <v/>
      </c>
    </row>
    <row r="19" spans="2:30">
      <c r="X19" s="97"/>
      <c r="Y19" s="98" t="str">
        <f t="shared" si="0"/>
        <v>Forward Delta</v>
      </c>
      <c r="Z19" s="107" t="str">
        <f>""</f>
        <v/>
      </c>
      <c r="AA19" s="100" t="s">
        <v>191</v>
      </c>
      <c r="AB19" s="100" t="s">
        <v>192</v>
      </c>
      <c r="AC19" s="107" t="str">
        <f>""</f>
        <v/>
      </c>
      <c r="AD19" s="108" t="str">
        <f>""</f>
        <v/>
      </c>
    </row>
    <row r="20" spans="2:30">
      <c r="X20" s="97"/>
      <c r="Y20" s="98" t="str">
        <f t="shared" si="0"/>
        <v>DdeltaDtime</v>
      </c>
      <c r="Z20" s="107" t="str">
        <f>""</f>
        <v/>
      </c>
      <c r="AA20" s="107" t="str">
        <f>""</f>
        <v/>
      </c>
      <c r="AB20" s="100" t="s">
        <v>193</v>
      </c>
      <c r="AC20" s="107" t="str">
        <f>""</f>
        <v/>
      </c>
      <c r="AD20" s="108" t="str">
        <f>""</f>
        <v/>
      </c>
    </row>
    <row r="21" spans="2:30">
      <c r="X21" s="97"/>
      <c r="Y21" s="98" t="str">
        <f t="shared" si="0"/>
        <v>Elasticity</v>
      </c>
      <c r="Z21" s="107" t="str">
        <f>""</f>
        <v/>
      </c>
      <c r="AA21" s="107" t="str">
        <f>""</f>
        <v/>
      </c>
      <c r="AB21" s="100" t="s">
        <v>194</v>
      </c>
      <c r="AC21" s="107" t="str">
        <f>""</f>
        <v/>
      </c>
      <c r="AD21" s="108" t="str">
        <f>""</f>
        <v/>
      </c>
    </row>
    <row r="22" spans="2:30">
      <c r="X22" s="97"/>
      <c r="Y22" s="98" t="str">
        <f t="shared" si="0"/>
        <v>DDeltaDVol</v>
      </c>
      <c r="Z22" s="107" t="str">
        <f>""</f>
        <v/>
      </c>
      <c r="AA22" s="107" t="str">
        <f>""</f>
        <v/>
      </c>
      <c r="AB22" s="109"/>
      <c r="AC22" s="107" t="str">
        <f>""</f>
        <v/>
      </c>
      <c r="AD22" s="108" t="str">
        <f>""</f>
        <v/>
      </c>
    </row>
    <row r="23" spans="2:30">
      <c r="X23" s="97"/>
      <c r="Y23" s="98" t="str">
        <f t="shared" si="0"/>
        <v>DVannaDvol</v>
      </c>
      <c r="Z23" s="110" t="str">
        <f>INDEX(Z24:Z33,$X$14)</f>
        <v>dddv</v>
      </c>
      <c r="AA23" s="111" t="str">
        <f>INDEX(AA24:AA33,$X$14)</f>
        <v>gp</v>
      </c>
      <c r="AB23" s="111" t="str">
        <f>INDEX(AB24:AB33,$X$14)</f>
        <v>vp</v>
      </c>
      <c r="AC23" s="111" t="str">
        <f>INDEX(AC24:AC33,$X$14)</f>
        <v>zt</v>
      </c>
      <c r="AD23" s="112">
        <f>INDEX(AD24:AD33,$X$14)</f>
        <v>0</v>
      </c>
    </row>
    <row r="24" spans="2:30">
      <c r="B24" t="s">
        <v>195</v>
      </c>
      <c r="X24" s="97"/>
      <c r="Y24" s="98" t="str">
        <f t="shared" si="0"/>
        <v/>
      </c>
      <c r="Z24" s="97" t="s">
        <v>196</v>
      </c>
      <c r="AA24" s="109" t="s">
        <v>197</v>
      </c>
      <c r="AB24" s="113" t="s">
        <v>198</v>
      </c>
      <c r="AC24" s="109" t="s">
        <v>199</v>
      </c>
      <c r="AD24" s="98" t="s">
        <v>200</v>
      </c>
    </row>
    <row r="25" spans="2:30">
      <c r="X25" s="97"/>
      <c r="Y25" s="98" t="str">
        <f t="shared" si="0"/>
        <v/>
      </c>
      <c r="Z25" s="97" t="s">
        <v>201</v>
      </c>
      <c r="AA25" s="109" t="s">
        <v>202</v>
      </c>
      <c r="AB25" s="113" t="s">
        <v>203</v>
      </c>
      <c r="AC25" s="109" t="s">
        <v>204</v>
      </c>
      <c r="AD25" s="98" t="s">
        <v>205</v>
      </c>
    </row>
    <row r="26" spans="2:30">
      <c r="X26" s="97"/>
      <c r="Y26" s="98" t="str">
        <f t="shared" si="0"/>
        <v/>
      </c>
      <c r="Z26" s="97" t="s">
        <v>206</v>
      </c>
      <c r="AA26" s="109" t="s">
        <v>207</v>
      </c>
      <c r="AB26" s="113" t="s">
        <v>208</v>
      </c>
      <c r="AC26" s="109" t="s">
        <v>209</v>
      </c>
      <c r="AD26" s="98" t="s">
        <v>210</v>
      </c>
    </row>
    <row r="27" spans="2:30">
      <c r="X27" s="97"/>
      <c r="Y27" s="98" t="str">
        <f t="shared" si="0"/>
        <v/>
      </c>
      <c r="Z27" s="97" t="s">
        <v>211</v>
      </c>
      <c r="AA27" s="109" t="s">
        <v>212</v>
      </c>
      <c r="AB27" s="113" t="s">
        <v>213</v>
      </c>
      <c r="AC27" s="109" t="s">
        <v>214</v>
      </c>
      <c r="AD27" s="98" t="s">
        <v>215</v>
      </c>
    </row>
    <row r="28" spans="2:30">
      <c r="X28" s="114"/>
      <c r="Y28" s="115" t="str">
        <f t="shared" si="0"/>
        <v/>
      </c>
      <c r="Z28" s="97" t="s">
        <v>216</v>
      </c>
      <c r="AA28" s="109" t="s">
        <v>217</v>
      </c>
      <c r="AB28" s="113" t="s">
        <v>218</v>
      </c>
      <c r="AC28" s="109" t="s">
        <v>219</v>
      </c>
      <c r="AD28" s="98"/>
    </row>
    <row r="29" spans="2:30">
      <c r="Z29" s="97" t="s">
        <v>220</v>
      </c>
      <c r="AA29" s="109" t="s">
        <v>221</v>
      </c>
      <c r="AB29" s="113" t="s">
        <v>222</v>
      </c>
      <c r="AC29" s="109" t="s">
        <v>223</v>
      </c>
      <c r="AD29" s="98"/>
    </row>
    <row r="30" spans="2:30">
      <c r="Y30" s="74">
        <f>IF(Y31=1,1,-1)</f>
        <v>-1</v>
      </c>
      <c r="Z30" s="97"/>
      <c r="AA30" s="109" t="s">
        <v>224</v>
      </c>
      <c r="AB30" s="109" t="s">
        <v>225</v>
      </c>
      <c r="AC30" s="109" t="s">
        <v>226</v>
      </c>
      <c r="AD30" s="98"/>
    </row>
    <row r="31" spans="2:30">
      <c r="Y31" s="78">
        <v>2</v>
      </c>
      <c r="Z31" s="97"/>
      <c r="AA31" s="109" t="s">
        <v>227</v>
      </c>
      <c r="AB31" s="109" t="s">
        <v>228</v>
      </c>
      <c r="AC31" s="109"/>
      <c r="AD31" s="98"/>
    </row>
    <row r="32" spans="2:30">
      <c r="Y32" s="78" t="s">
        <v>229</v>
      </c>
      <c r="Z32" s="97"/>
      <c r="AA32" s="109"/>
      <c r="AB32" s="109" t="s">
        <v>230</v>
      </c>
      <c r="AC32" s="109"/>
      <c r="AD32" s="98"/>
    </row>
    <row r="33" spans="20:44">
      <c r="Y33" s="80" t="s">
        <v>231</v>
      </c>
      <c r="Z33" s="114"/>
      <c r="AA33" s="116"/>
      <c r="AB33" s="116" t="s">
        <v>232</v>
      </c>
      <c r="AC33" s="116"/>
      <c r="AD33" s="115"/>
    </row>
    <row r="37" spans="20:44">
      <c r="T37" s="117" t="s">
        <v>233</v>
      </c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Q37" t="s">
        <v>234</v>
      </c>
    </row>
    <row r="38" spans="20:44">
      <c r="T38" s="118"/>
      <c r="U38" s="119" t="s">
        <v>235</v>
      </c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1"/>
      <c r="AL38" s="121"/>
      <c r="AM38" s="122"/>
      <c r="AN38" s="122"/>
      <c r="AO38" s="123"/>
      <c r="AQ38" s="118"/>
      <c r="AR38" s="124" t="s">
        <v>235</v>
      </c>
    </row>
    <row r="39" spans="20:44">
      <c r="T39" s="125" t="s">
        <v>236</v>
      </c>
      <c r="U39" s="126">
        <f>F13</f>
        <v>1</v>
      </c>
      <c r="V39" s="126">
        <f>U39+($F$14-$F$13)/20</f>
        <v>9.9499999999999993</v>
      </c>
      <c r="W39" s="126">
        <f t="shared" ref="W39:AO39" si="1">V39+($F$14-$F$13)/20</f>
        <v>18.899999999999999</v>
      </c>
      <c r="X39" s="126">
        <f t="shared" si="1"/>
        <v>27.849999999999998</v>
      </c>
      <c r="Y39" s="126">
        <f t="shared" si="1"/>
        <v>36.799999999999997</v>
      </c>
      <c r="Z39" s="126">
        <f>Y39+($F$14-$F$13)/20</f>
        <v>45.75</v>
      </c>
      <c r="AA39" s="126">
        <f t="shared" si="1"/>
        <v>54.7</v>
      </c>
      <c r="AB39" s="126">
        <f t="shared" si="1"/>
        <v>63.650000000000006</v>
      </c>
      <c r="AC39" s="126">
        <f t="shared" si="1"/>
        <v>72.600000000000009</v>
      </c>
      <c r="AD39" s="126">
        <f t="shared" si="1"/>
        <v>81.550000000000011</v>
      </c>
      <c r="AE39" s="126">
        <f>AD39+($F$14-$F$13)/20</f>
        <v>90.500000000000014</v>
      </c>
      <c r="AF39" s="126">
        <f t="shared" si="1"/>
        <v>99.450000000000017</v>
      </c>
      <c r="AG39" s="126">
        <f t="shared" si="1"/>
        <v>108.40000000000002</v>
      </c>
      <c r="AH39" s="126">
        <f t="shared" si="1"/>
        <v>117.35000000000002</v>
      </c>
      <c r="AI39" s="126">
        <f t="shared" si="1"/>
        <v>126.30000000000003</v>
      </c>
      <c r="AJ39" s="126">
        <f t="shared" si="1"/>
        <v>135.25000000000003</v>
      </c>
      <c r="AK39" s="126">
        <f t="shared" si="1"/>
        <v>144.20000000000002</v>
      </c>
      <c r="AL39" s="126">
        <f t="shared" si="1"/>
        <v>153.15</v>
      </c>
      <c r="AM39" s="126">
        <f t="shared" si="1"/>
        <v>162.1</v>
      </c>
      <c r="AN39" s="126">
        <f t="shared" si="1"/>
        <v>171.04999999999998</v>
      </c>
      <c r="AO39" s="127">
        <f t="shared" si="1"/>
        <v>179.99999999999997</v>
      </c>
      <c r="AQ39" s="128" t="s">
        <v>236</v>
      </c>
      <c r="AR39" s="127">
        <f>L13</f>
        <v>35</v>
      </c>
    </row>
    <row r="40" spans="20:44">
      <c r="T40" s="129">
        <f t="shared" ref="T40:T58" si="2">T41-($D$14-$D$13)/20</f>
        <v>3.2499999999999969</v>
      </c>
      <c r="U40" s="130">
        <f>IF($AD$9=1,CTheOptionFormula($Y$14,BS!$P$6,IF($AB$9=1,$T40,BS!$C$8),IF($AB$9=2,$T40,BS!$C$9),U$39/$AA$5,BS!$P$17,BS!$P$18,BS!$C$13)*$Y$30,"")</f>
        <v>-4.0105875411361061E-112</v>
      </c>
      <c r="V40" s="131">
        <f>IF($AD$9=1,CTheOptionFormula($Y$14,BS!$P$6,IF($AB$9=1,$T40,BS!$C$8),IF($AB$9=2,$T40,BS!$C$9),V$39/$AA$5,BS!$P$17,BS!$P$18,BS!$C$13)*$Y$30,"")</f>
        <v>-2.8940803204528928E-12</v>
      </c>
      <c r="W40" s="131">
        <f>IF($AD$9=1,CTheOptionFormula($Y$14,BS!$P$6,IF($AB$9=1,$T40,BS!$C$8),IF($AB$9=2,$T40,BS!$C$9),W$39/$AA$5,BS!$P$17,BS!$P$18,BS!$C$13)*$Y$30,"")</f>
        <v>-4.1960203315680267E-7</v>
      </c>
      <c r="X40" s="131">
        <f>IF($AD$9=1,CTheOptionFormula($Y$14,BS!$P$6,IF($AB$9=1,$T40,BS!$C$8),IF($AB$9=2,$T40,BS!$C$9),X$39/$AA$5,BS!$P$17,BS!$P$18,BS!$C$13)*$Y$30,"")</f>
        <v>-2.6670737165306587E-5</v>
      </c>
      <c r="Y40" s="131">
        <f>IF($AD$9=1,CTheOptionFormula($Y$14,BS!$P$6,IF($AB$9=1,$T40,BS!$C$8),IF($AB$9=2,$T40,BS!$C$9),Y$39/$AA$5,BS!$P$17,BS!$P$18,BS!$C$13)*$Y$30,"")</f>
        <v>-2.1376630675258167E-4</v>
      </c>
      <c r="Z40" s="131">
        <f>IF($AD$9=1,CTheOptionFormula($Y$14,BS!$P$6,IF($AB$9=1,$T40,BS!$C$8),IF($AB$9=2,$T40,BS!$C$9),Z$39/$AA$5,BS!$P$17,BS!$P$18,BS!$C$13)*$Y$30,"")</f>
        <v>-7.3404664084177854E-4</v>
      </c>
      <c r="AA40" s="131">
        <f>IF($AD$9=1,CTheOptionFormula($Y$14,BS!$P$6,IF($AB$9=1,$T40,BS!$C$8),IF($AB$9=2,$T40,BS!$C$9),AA$39/$AA$5,BS!$P$17,BS!$P$18,BS!$C$13)*$Y$30,"")</f>
        <v>-1.6434446039317991E-3</v>
      </c>
      <c r="AB40" s="131">
        <f>IF($AD$9=1,CTheOptionFormula($Y$14,BS!$P$6,IF($AB$9=1,$T40,BS!$C$8),IF($AB$9=2,$T40,BS!$C$9),AB$39/$AA$5,BS!$P$17,BS!$P$18,BS!$C$13)*$Y$30,"")</f>
        <v>-2.879585833518588E-3</v>
      </c>
      <c r="AC40" s="131">
        <f>IF($AD$9=1,CTheOptionFormula($Y$14,BS!$P$6,IF($AB$9=1,$T40,BS!$C$8),IF($AB$9=2,$T40,BS!$C$9),AC$39/$AA$5,BS!$P$17,BS!$P$18,BS!$C$13)*$Y$30,"")</f>
        <v>-4.3290519876190182E-3</v>
      </c>
      <c r="AD40" s="131">
        <f>IF($AD$9=1,CTheOptionFormula($Y$14,BS!$P$6,IF($AB$9=1,$T40,BS!$C$8),IF($AB$9=2,$T40,BS!$C$9),AD$39/$AA$5,BS!$P$17,BS!$P$18,BS!$C$13)*$Y$30,"")</f>
        <v>-5.8777651730307738E-3</v>
      </c>
      <c r="AE40" s="131">
        <f>IF($AD$9=1,CTheOptionFormula($Y$14,BS!$P$6,IF($AB$9=1,$T40,BS!$C$8),IF($AB$9=2,$T40,BS!$C$9),AE$39/$AA$5,BS!$P$17,BS!$P$18,BS!$C$13)*$Y$30,"")</f>
        <v>-7.432980867004715E-3</v>
      </c>
      <c r="AF40" s="131">
        <f>IF($AD$9=1,CTheOptionFormula($Y$14,BS!$P$6,IF($AB$9=1,$T40,BS!$C$8),IF($AB$9=2,$T40,BS!$C$9),AF$39/$AA$5,BS!$P$17,BS!$P$18,BS!$C$13)*$Y$30,"")</f>
        <v>-8.9279202632959968E-3</v>
      </c>
      <c r="AG40" s="131">
        <f>IF($AD$9=1,CTheOptionFormula($Y$14,BS!$P$6,IF($AB$9=1,$T40,BS!$C$8),IF($AB$9=2,$T40,BS!$C$9),AG$39/$AA$5,BS!$P$17,BS!$P$18,BS!$C$13)*$Y$30,"")</f>
        <v>-1.0318891122454306E-2</v>
      </c>
      <c r="AH40" s="131">
        <f>IF($AD$9=1,CTheOptionFormula($Y$14,BS!$P$6,IF($AB$9=1,$T40,BS!$C$8),IF($AB$9=2,$T40,BS!$C$9),AH$39/$AA$5,BS!$P$17,BS!$P$18,BS!$C$13)*$Y$30,"")</f>
        <v>-1.158023290216724E-2</v>
      </c>
      <c r="AI40" s="131">
        <f>IF($AD$9=1,CTheOptionFormula($Y$14,BS!$P$6,IF($AB$9=1,$T40,BS!$C$8),IF($AB$9=2,$T40,BS!$C$9),AI$39/$AA$5,BS!$P$17,BS!$P$18,BS!$C$13)*$Y$30,"")</f>
        <v>-1.2699380063813222E-2</v>
      </c>
      <c r="AJ40" s="131">
        <f>IF($AD$9=1,CTheOptionFormula($Y$14,BS!$P$6,IF($AB$9=1,$T40,BS!$C$8),IF($AB$9=2,$T40,BS!$C$9),AJ$39/$AA$5,BS!$P$17,BS!$P$18,BS!$C$13)*$Y$30,"")</f>
        <v>-1.3672804744134213E-2</v>
      </c>
      <c r="AK40" s="131">
        <f>IF($AD$9=1,CTheOptionFormula($Y$14,BS!$P$6,IF($AB$9=1,$T40,BS!$C$8),IF($AB$9=2,$T40,BS!$C$9),AK$39/$AA$5,BS!$P$17,BS!$P$18,BS!$C$13)*$Y$30,"")</f>
        <v>-1.4502942605624999E-2</v>
      </c>
      <c r="AL40" s="131">
        <f>IF($AD$9=1,CTheOptionFormula($Y$14,BS!$P$6,IF($AB$9=1,$T40,BS!$C$8),IF($AB$9=2,$T40,BS!$C$9),AL$39/$AA$5,BS!$P$17,BS!$P$18,BS!$C$13)*$Y$30,"")</f>
        <v>-1.5195970206960169E-2</v>
      </c>
      <c r="AM40" s="131">
        <f>IF($AD$9=1,CTheOptionFormula($Y$14,BS!$P$6,IF($AB$9=1,$T40,BS!$C$8),IF($AB$9=2,$T40,BS!$C$9),AM$39/$AA$5,BS!$P$17,BS!$P$18,BS!$C$13)*$Y$30,"")</f>
        <v>-1.5760247829536958E-2</v>
      </c>
      <c r="AN40" s="131">
        <f>IF($AD$9=1,CTheOptionFormula($Y$14,BS!$P$6,IF($AB$9=1,$T40,BS!$C$8),IF($AB$9=2,$T40,BS!$C$9),AN$39/$AA$5,BS!$P$17,BS!$P$18,BS!$C$13)*$Y$30,"")</f>
        <v>-1.6205255447401423E-2</v>
      </c>
      <c r="AO40" s="132">
        <f>IF($AD$9=1,CTheOptionFormula($Y$14,BS!$P$6,IF($AB$9=1,$T40,BS!$C$8),IF($AB$9=2,$T40,BS!$C$9),AO$39/$AA$5,BS!$P$17,BS!$P$18,BS!$C$13)*$Y$30,"")</f>
        <v>-1.6540882856393477E-2</v>
      </c>
      <c r="AQ40" s="133">
        <f t="shared" ref="AQ40:AQ78" si="3">AQ41-($K$14-$K$13)/40</f>
        <v>3.2499999999999929</v>
      </c>
      <c r="AR40" s="134">
        <f>IF($AA$9=1,CTheOptionFormula($Y$14,BS!$P$6,IF($AB$9=1,$AQ40,BS!$C$8),IF($AB$9=2,$AQ40,BS!$C$9),$L$13/$AA$5,BS!$P$17,BS!$P$18,BS!$C$13)*$Y$30,"")</f>
        <v>-1.5378415026948345E-4</v>
      </c>
    </row>
    <row r="41" spans="20:44">
      <c r="T41" s="129">
        <f t="shared" si="2"/>
        <v>3.3374999999999968</v>
      </c>
      <c r="U41" s="135">
        <f>IF($AD$9=1,CTheOptionFormula($Y$14,BS!$P$6,IF($AB$9=1,$T41,BS!$C$8),IF($AB$9=2,$T41,BS!$C$9),U$39/$AA$5,BS!$P$17,BS!$P$18,BS!$C$13)*$Y$30,"")</f>
        <v>-1.6207552046102726E-85</v>
      </c>
      <c r="V41" s="136">
        <f>IF($AD$9=1,CTheOptionFormula($Y$14,BS!$P$6,IF($AB$9=1,$T41,BS!$C$8),IF($AB$9=2,$T41,BS!$C$9),V$39/$AA$5,BS!$P$17,BS!$P$18,BS!$C$13)*$Y$30,"")</f>
        <v>-1.0632324000293602E-9</v>
      </c>
      <c r="W41" s="136">
        <f>IF($AD$9=1,CTheOptionFormula($Y$14,BS!$P$6,IF($AB$9=1,$T41,BS!$C$8),IF($AB$9=2,$T41,BS!$C$9),W$39/$AA$5,BS!$P$17,BS!$P$18,BS!$C$13)*$Y$30,"")</f>
        <v>-8.221419210517946E-6</v>
      </c>
      <c r="X41" s="136">
        <f>IF($AD$9=1,CTheOptionFormula($Y$14,BS!$P$6,IF($AB$9=1,$T41,BS!$C$8),IF($AB$9=2,$T41,BS!$C$9),X$39/$AA$5,BS!$P$17,BS!$P$18,BS!$C$13)*$Y$30,"")</f>
        <v>-1.830785879119853E-4</v>
      </c>
      <c r="Y41" s="136">
        <f>IF($AD$9=1,CTheOptionFormula($Y$14,BS!$P$6,IF($AB$9=1,$T41,BS!$C$8),IF($AB$9=2,$T41,BS!$C$9),Y$39/$AA$5,BS!$P$17,BS!$P$18,BS!$C$13)*$Y$30,"")</f>
        <v>-8.5515267507982676E-4</v>
      </c>
      <c r="Z41" s="136">
        <f>IF($AD$9=1,CTheOptionFormula($Y$14,BS!$P$6,IF($AB$9=1,$T41,BS!$C$8),IF($AB$9=2,$T41,BS!$C$9),Z$39/$AA$5,BS!$P$17,BS!$P$18,BS!$C$13)*$Y$30,"")</f>
        <v>-2.1115809665811758E-3</v>
      </c>
      <c r="AA41" s="136">
        <f>IF($AD$9=1,CTheOptionFormula($Y$14,BS!$P$6,IF($AB$9=1,$T41,BS!$C$8),IF($AB$9=2,$T41,BS!$C$9),AA$39/$AA$5,BS!$P$17,BS!$P$18,BS!$C$13)*$Y$30,"")</f>
        <v>-3.7832972689445087E-3</v>
      </c>
      <c r="AB41" s="136">
        <f>IF($AD$9=1,CTheOptionFormula($Y$14,BS!$P$6,IF($AB$9=1,$T41,BS!$C$8),IF($AB$9=2,$T41,BS!$C$9),AB$39/$AA$5,BS!$P$17,BS!$P$18,BS!$C$13)*$Y$30,"")</f>
        <v>-5.6430427025313812E-3</v>
      </c>
      <c r="AC41" s="136">
        <f>IF($AD$9=1,CTheOptionFormula($Y$14,BS!$P$6,IF($AB$9=1,$T41,BS!$C$8),IF($AB$9=2,$T41,BS!$C$9),AC$39/$AA$5,BS!$P$17,BS!$P$18,BS!$C$13)*$Y$30,"")</f>
        <v>-7.5082146052639432E-3</v>
      </c>
      <c r="AD41" s="136">
        <f>IF($AD$9=1,CTheOptionFormula($Y$14,BS!$P$6,IF($AB$9=1,$T41,BS!$C$8),IF($AB$9=2,$T41,BS!$C$9),AD$39/$AA$5,BS!$P$17,BS!$P$18,BS!$C$13)*$Y$30,"")</f>
        <v>-9.2603931557982185E-3</v>
      </c>
      <c r="AE41" s="136">
        <f>IF($AD$9=1,CTheOptionFormula($Y$14,BS!$P$6,IF($AB$9=1,$T41,BS!$C$8),IF($AB$9=2,$T41,BS!$C$9),AE$39/$AA$5,BS!$P$17,BS!$P$18,BS!$C$13)*$Y$30,"")</f>
        <v>-1.0834088584402889E-2</v>
      </c>
      <c r="AF41" s="136">
        <f>IF($AD$9=1,CTheOptionFormula($Y$14,BS!$P$6,IF($AB$9=1,$T41,BS!$C$8),IF($AB$9=2,$T41,BS!$C$9),AF$39/$AA$5,BS!$P$17,BS!$P$18,BS!$C$13)*$Y$30,"")</f>
        <v>-1.220028700928423E-2</v>
      </c>
      <c r="AG41" s="136">
        <f>IF($AD$9=1,CTheOptionFormula($Y$14,BS!$P$6,IF($AB$9=1,$T41,BS!$C$8),IF($AB$9=2,$T41,BS!$C$9),AG$39/$AA$5,BS!$P$17,BS!$P$18,BS!$C$13)*$Y$30,"")</f>
        <v>-1.3352819274035524E-2</v>
      </c>
      <c r="AH41" s="136">
        <f>IF($AD$9=1,CTheOptionFormula($Y$14,BS!$P$6,IF($AB$9=1,$T41,BS!$C$8),IF($AB$9=2,$T41,BS!$C$9),AH$39/$AA$5,BS!$P$17,BS!$P$18,BS!$C$13)*$Y$30,"")</f>
        <v>-1.4298793366934171E-2</v>
      </c>
      <c r="AI41" s="136">
        <f>IF($AD$9=1,CTheOptionFormula($Y$14,BS!$P$6,IF($AB$9=1,$T41,BS!$C$8),IF($AB$9=2,$T41,BS!$C$9),AI$39/$AA$5,BS!$P$17,BS!$P$18,BS!$C$13)*$Y$30,"")</f>
        <v>-1.5052380149556148E-2</v>
      </c>
      <c r="AJ41" s="136">
        <f>IF($AD$9=1,CTheOptionFormula($Y$14,BS!$P$6,IF($AB$9=1,$T41,BS!$C$8),IF($AB$9=2,$T41,BS!$C$9),AJ$39/$AA$5,BS!$P$17,BS!$P$18,BS!$C$13)*$Y$30,"")</f>
        <v>-1.5630964600816685E-2</v>
      </c>
      <c r="AK41" s="136">
        <f>IF($AD$9=1,CTheOptionFormula($Y$14,BS!$P$6,IF($AB$9=1,$T41,BS!$C$8),IF($AB$9=2,$T41,BS!$C$9),AK$39/$AA$5,BS!$P$17,BS!$P$18,BS!$C$13)*$Y$30,"")</f>
        <v>-1.6052853913276169E-2</v>
      </c>
      <c r="AL41" s="136">
        <f>IF($AD$9=1,CTheOptionFormula($Y$14,BS!$P$6,IF($AB$9=1,$T41,BS!$C$8),IF($AB$9=2,$T41,BS!$C$9),AL$39/$AA$5,BS!$P$17,BS!$P$18,BS!$C$13)*$Y$30,"")</f>
        <v>-1.6335972290442546E-2</v>
      </c>
      <c r="AM41" s="136">
        <f>IF($AD$9=1,CTheOptionFormula($Y$14,BS!$P$6,IF($AB$9=1,$T41,BS!$C$8),IF($AB$9=2,$T41,BS!$C$9),AM$39/$AA$5,BS!$P$17,BS!$P$18,BS!$C$13)*$Y$30,"")</f>
        <v>-1.6497165594175321E-2</v>
      </c>
      <c r="AN41" s="136">
        <f>IF($AD$9=1,CTheOptionFormula($Y$14,BS!$P$6,IF($AB$9=1,$T41,BS!$C$8),IF($AB$9=2,$T41,BS!$C$9),AN$39/$AA$5,BS!$P$17,BS!$P$18,BS!$C$13)*$Y$30,"")</f>
        <v>-1.6551874842804078E-2</v>
      </c>
      <c r="AO41" s="137">
        <f>IF($AD$9=1,CTheOptionFormula($Y$14,BS!$P$6,IF($AB$9=1,$T41,BS!$C$8),IF($AB$9=2,$T41,BS!$C$9),AO$39/$AA$5,BS!$P$17,BS!$P$18,BS!$C$13)*$Y$30,"")</f>
        <v>-1.6514027369381044E-2</v>
      </c>
      <c r="AQ41" s="133">
        <f t="shared" si="3"/>
        <v>3.2937499999999931</v>
      </c>
      <c r="AR41" s="138">
        <f>IF($AA$9=1,CTheOptionFormula($Y$14,BS!$P$6,IF($AB$9=1,$AQ41,BS!$C$8),IF($AB$9=2,$AQ41,BS!$C$9),$L$13/$AA$5,BS!$P$17,BS!$P$18,BS!$C$13)*$Y$30,"")</f>
        <v>-3.3349089788331439E-4</v>
      </c>
    </row>
    <row r="42" spans="20:44">
      <c r="T42" s="129">
        <f t="shared" si="2"/>
        <v>3.4249999999999967</v>
      </c>
      <c r="U42" s="135">
        <f>IF($AD$9=1,CTheOptionFormula($Y$14,BS!$P$6,IF($AB$9=1,$T42,BS!$C$8),IF($AB$9=2,$T42,BS!$C$9),U$39/$AA$5,BS!$P$17,BS!$P$18,BS!$C$13)*$Y$30,"")</f>
        <v>-4.0347560117962192E-63</v>
      </c>
      <c r="V42" s="136">
        <f>IF($AD$9=1,CTheOptionFormula($Y$14,BS!$P$6,IF($AB$9=1,$T42,BS!$C$8),IF($AB$9=2,$T42,BS!$C$9),V$39/$AA$5,BS!$P$17,BS!$P$18,BS!$C$13)*$Y$30,"")</f>
        <v>-1.4550984401165192E-7</v>
      </c>
      <c r="W42" s="136">
        <f>IF($AD$9=1,CTheOptionFormula($Y$14,BS!$P$6,IF($AB$9=1,$T42,BS!$C$8),IF($AB$9=2,$T42,BS!$C$9),W$39/$AA$5,BS!$P$17,BS!$P$18,BS!$C$13)*$Y$30,"")</f>
        <v>-9.5055472886124455E-5</v>
      </c>
      <c r="X42" s="136">
        <f>IF($AD$9=1,CTheOptionFormula($Y$14,BS!$P$6,IF($AB$9=1,$T42,BS!$C$8),IF($AB$9=2,$T42,BS!$C$9),X$39/$AA$5,BS!$P$17,BS!$P$18,BS!$C$13)*$Y$30,"")</f>
        <v>-8.7358986855246392E-4</v>
      </c>
      <c r="Y42" s="136">
        <f>IF($AD$9=1,CTheOptionFormula($Y$14,BS!$P$6,IF($AB$9=1,$T42,BS!$C$8),IF($AB$9=2,$T42,BS!$C$9),Y$39/$AA$5,BS!$P$17,BS!$P$18,BS!$C$13)*$Y$30,"")</f>
        <v>-2.5856394181477953E-3</v>
      </c>
      <c r="Z42" s="136">
        <f>IF($AD$9=1,CTheOptionFormula($Y$14,BS!$P$6,IF($AB$9=1,$T42,BS!$C$8),IF($AB$9=2,$T42,BS!$C$9),Z$39/$AA$5,BS!$P$17,BS!$P$18,BS!$C$13)*$Y$30,"")</f>
        <v>-4.8292141335700631E-3</v>
      </c>
      <c r="AA42" s="136">
        <f>IF($AD$9=1,CTheOptionFormula($Y$14,BS!$P$6,IF($AB$9=1,$T42,BS!$C$8),IF($AB$9=2,$T42,BS!$C$9),AA$39/$AA$5,BS!$P$17,BS!$P$18,BS!$C$13)*$Y$30,"")</f>
        <v>-7.1613871915635497E-3</v>
      </c>
      <c r="AB42" s="136">
        <f>IF($AD$9=1,CTheOptionFormula($Y$14,BS!$P$6,IF($AB$9=1,$T42,BS!$C$8),IF($AB$9=2,$T42,BS!$C$9),AB$39/$AA$5,BS!$P$17,BS!$P$18,BS!$C$13)*$Y$30,"")</f>
        <v>-9.3127897247071122E-3</v>
      </c>
      <c r="AC42" s="136">
        <f>IF($AD$9=1,CTheOptionFormula($Y$14,BS!$P$6,IF($AB$9=1,$T42,BS!$C$8),IF($AB$9=2,$T42,BS!$C$9),AC$39/$AA$5,BS!$P$17,BS!$P$18,BS!$C$13)*$Y$30,"")</f>
        <v>-1.1162011105076787E-2</v>
      </c>
      <c r="AD42" s="136">
        <f>IF($AD$9=1,CTheOptionFormula($Y$14,BS!$P$6,IF($AB$9=1,$T42,BS!$C$8),IF($AB$9=2,$T42,BS!$C$9),AD$39/$AA$5,BS!$P$17,BS!$P$18,BS!$C$13)*$Y$30,"")</f>
        <v>-1.2675614511520439E-2</v>
      </c>
      <c r="AE42" s="136">
        <f>IF($AD$9=1,CTheOptionFormula($Y$14,BS!$P$6,IF($AB$9=1,$T42,BS!$C$8),IF($AB$9=2,$T42,BS!$C$9),AE$39/$AA$5,BS!$P$17,BS!$P$18,BS!$C$13)*$Y$30,"")</f>
        <v>-1.3864811035641609E-2</v>
      </c>
      <c r="AF42" s="136">
        <f>IF($AD$9=1,CTheOptionFormula($Y$14,BS!$P$6,IF($AB$9=1,$T42,BS!$C$8),IF($AB$9=2,$T42,BS!$C$9),AF$39/$AA$5,BS!$P$17,BS!$P$18,BS!$C$13)*$Y$30,"")</f>
        <v>-1.4760375754845312E-2</v>
      </c>
      <c r="AG42" s="136">
        <f>IF($AD$9=1,CTheOptionFormula($Y$14,BS!$P$6,IF($AB$9=1,$T42,BS!$C$8),IF($AB$9=2,$T42,BS!$C$9),AG$39/$AA$5,BS!$P$17,BS!$P$18,BS!$C$13)*$Y$30,"")</f>
        <v>-1.539945787921765E-2</v>
      </c>
      <c r="AH42" s="136">
        <f>IF($AD$9=1,CTheOptionFormula($Y$14,BS!$P$6,IF($AB$9=1,$T42,BS!$C$8),IF($AB$9=2,$T42,BS!$C$9),AH$39/$AA$5,BS!$P$17,BS!$P$18,BS!$C$13)*$Y$30,"")</f>
        <v>-1.5819126463379581E-2</v>
      </c>
      <c r="AI42" s="136">
        <f>IF($AD$9=1,CTheOptionFormula($Y$14,BS!$P$6,IF($AB$9=1,$T42,BS!$C$8),IF($AB$9=2,$T42,BS!$C$9),AI$39/$AA$5,BS!$P$17,BS!$P$18,BS!$C$13)*$Y$30,"")</f>
        <v>-1.6053502100298031E-2</v>
      </c>
      <c r="AJ42" s="136">
        <f>IF($AD$9=1,CTheOptionFormula($Y$14,BS!$P$6,IF($AB$9=1,$T42,BS!$C$8),IF($AB$9=2,$T42,BS!$C$9),AJ$39/$AA$5,BS!$P$17,BS!$P$18,BS!$C$13)*$Y$30,"")</f>
        <v>-1.6132721858019072E-2</v>
      </c>
      <c r="AK42" s="136">
        <f>IF($AD$9=1,CTheOptionFormula($Y$14,BS!$P$6,IF($AB$9=1,$T42,BS!$C$8),IF($AB$9=2,$T42,BS!$C$9),AK$39/$AA$5,BS!$P$17,BS!$P$18,BS!$C$13)*$Y$30,"")</f>
        <v>-1.6082800712124871E-2</v>
      </c>
      <c r="AL42" s="136">
        <f>IF($AD$9=1,CTheOptionFormula($Y$14,BS!$P$6,IF($AB$9=1,$T42,BS!$C$8),IF($AB$9=2,$T42,BS!$C$9),AL$39/$AA$5,BS!$P$17,BS!$P$18,BS!$C$13)*$Y$30,"")</f>
        <v>-1.5925900620911693E-2</v>
      </c>
      <c r="AM42" s="136">
        <f>IF($AD$9=1,CTheOptionFormula($Y$14,BS!$P$6,IF($AB$9=1,$T42,BS!$C$8),IF($AB$9=2,$T42,BS!$C$9),AM$39/$AA$5,BS!$P$17,BS!$P$18,BS!$C$13)*$Y$30,"")</f>
        <v>-1.5680757816898191E-2</v>
      </c>
      <c r="AN42" s="136">
        <f>IF($AD$9=1,CTheOptionFormula($Y$14,BS!$P$6,IF($AB$9=1,$T42,BS!$C$8),IF($AB$9=2,$T42,BS!$C$9),AN$39/$AA$5,BS!$P$17,BS!$P$18,BS!$C$13)*$Y$30,"")</f>
        <v>-1.5363145136538645E-2</v>
      </c>
      <c r="AO42" s="137">
        <f>IF($AD$9=1,CTheOptionFormula($Y$14,BS!$P$6,IF($AB$9=1,$T42,BS!$C$8),IF($AB$9=2,$T42,BS!$C$9),AO$39/$AA$5,BS!$P$17,BS!$P$18,BS!$C$13)*$Y$30,"")</f>
        <v>-1.4986312043478922E-2</v>
      </c>
      <c r="AQ42" s="133">
        <f t="shared" si="3"/>
        <v>3.3374999999999932</v>
      </c>
      <c r="AR42" s="138">
        <f>IF($AA$9=1,CTheOptionFormula($Y$14,BS!$P$6,IF($AB$9=1,$AQ42,BS!$C$8),IF($AB$9=2,$AQ42,BS!$C$9),$L$13/$AA$5,BS!$P$17,BS!$P$18,BS!$C$13)*$Y$30,"")</f>
        <v>-6.7079775872636157E-4</v>
      </c>
    </row>
    <row r="43" spans="20:44">
      <c r="T43" s="129">
        <f t="shared" si="2"/>
        <v>3.5124999999999966</v>
      </c>
      <c r="U43" s="135">
        <f>IF($AD$9=1,CTheOptionFormula($Y$14,BS!$P$6,IF($AB$9=1,$T43,BS!$C$8),IF($AB$9=2,$T43,BS!$C$9),U$39/$AA$5,BS!$P$17,BS!$P$18,BS!$C$13)*$Y$30,"")</f>
        <v>-1.2261050059841199E-44</v>
      </c>
      <c r="V43" s="136">
        <f>IF($AD$9=1,CTheOptionFormula($Y$14,BS!$P$6,IF($AB$9=1,$T43,BS!$C$8),IF($AB$9=2,$T43,BS!$C$9),V$39/$AA$5,BS!$P$17,BS!$P$18,BS!$C$13)*$Y$30,"")</f>
        <v>-7.8998120482734627E-6</v>
      </c>
      <c r="W43" s="136">
        <f>IF($AD$9=1,CTheOptionFormula($Y$14,BS!$P$6,IF($AB$9=1,$T43,BS!$C$8),IF($AB$9=2,$T43,BS!$C$9),W$39/$AA$5,BS!$P$17,BS!$P$18,BS!$C$13)*$Y$30,"")</f>
        <v>-6.6803431417302491E-4</v>
      </c>
      <c r="X43" s="136">
        <f>IF($AD$9=1,CTheOptionFormula($Y$14,BS!$P$6,IF($AB$9=1,$T43,BS!$C$8),IF($AB$9=2,$T43,BS!$C$9),X$39/$AA$5,BS!$P$17,BS!$P$18,BS!$C$13)*$Y$30,"")</f>
        <v>-2.9486410195808054E-3</v>
      </c>
      <c r="Y43" s="136">
        <f>IF($AD$9=1,CTheOptionFormula($Y$14,BS!$P$6,IF($AB$9=1,$T43,BS!$C$8),IF($AB$9=2,$T43,BS!$C$9),Y$39/$AA$5,BS!$P$17,BS!$P$18,BS!$C$13)*$Y$30,"")</f>
        <v>-5.9738730539703475E-3</v>
      </c>
      <c r="Z43" s="136">
        <f>IF($AD$9=1,CTheOptionFormula($Y$14,BS!$P$6,IF($AB$9=1,$T43,BS!$C$8),IF($AB$9=2,$T43,BS!$C$9),Z$39/$AA$5,BS!$P$17,BS!$P$18,BS!$C$13)*$Y$30,"")</f>
        <v>-8.8398444014028948E-3</v>
      </c>
      <c r="AA43" s="136">
        <f>IF($AD$9=1,CTheOptionFormula($Y$14,BS!$P$6,IF($AB$9=1,$T43,BS!$C$8),IF($AB$9=2,$T43,BS!$C$9),AA$39/$AA$5,BS!$P$17,BS!$P$18,BS!$C$13)*$Y$30,"")</f>
        <v>-1.1187161367149971E-2</v>
      </c>
      <c r="AB43" s="136">
        <f>IF($AD$9=1,CTheOptionFormula($Y$14,BS!$P$6,IF($AB$9=1,$T43,BS!$C$8),IF($AB$9=2,$T43,BS!$C$9),AB$39/$AA$5,BS!$P$17,BS!$P$18,BS!$C$13)*$Y$30,"")</f>
        <v>-1.2958675260469739E-2</v>
      </c>
      <c r="AC43" s="136">
        <f>IF($AD$9=1,CTheOptionFormula($Y$14,BS!$P$6,IF($AB$9=1,$T43,BS!$C$8),IF($AB$9=2,$T43,BS!$C$9),AC$39/$AA$5,BS!$P$17,BS!$P$18,BS!$C$13)*$Y$30,"")</f>
        <v>-1.4211819392308544E-2</v>
      </c>
      <c r="AD43" s="136">
        <f>IF($AD$9=1,CTheOptionFormula($Y$14,BS!$P$6,IF($AB$9=1,$T43,BS!$C$8),IF($AB$9=2,$T43,BS!$C$9),AD$39/$AA$5,BS!$P$17,BS!$P$18,BS!$C$13)*$Y$30,"")</f>
        <v>-1.5034009800731638E-2</v>
      </c>
      <c r="AE43" s="136">
        <f>IF($AD$9=1,CTheOptionFormula($Y$14,BS!$P$6,IF($AB$9=1,$T43,BS!$C$8),IF($AB$9=2,$T43,BS!$C$9),AE$39/$AA$5,BS!$P$17,BS!$P$18,BS!$C$13)*$Y$30,"")</f>
        <v>-1.5510643046263158E-2</v>
      </c>
      <c r="AF43" s="136">
        <f>IF($AD$9=1,CTheOptionFormula($Y$14,BS!$P$6,IF($AB$9=1,$T43,BS!$C$8),IF($AB$9=2,$T43,BS!$C$9),AF$39/$AA$5,BS!$P$17,BS!$P$18,BS!$C$13)*$Y$30,"")</f>
        <v>-1.5715125548102119E-2</v>
      </c>
      <c r="AG43" s="136">
        <f>IF($AD$9=1,CTheOptionFormula($Y$14,BS!$P$6,IF($AB$9=1,$T43,BS!$C$8),IF($AB$9=2,$T43,BS!$C$9),AG$39/$AA$5,BS!$P$17,BS!$P$18,BS!$C$13)*$Y$30,"")</f>
        <v>-1.5707341392361556E-2</v>
      </c>
      <c r="AH43" s="136">
        <f>IF($AD$9=1,CTheOptionFormula($Y$14,BS!$P$6,IF($AB$9=1,$T43,BS!$C$8),IF($AB$9=2,$T43,BS!$C$9),AH$39/$AA$5,BS!$P$17,BS!$P$18,BS!$C$13)*$Y$30,"")</f>
        <v>-1.553500736901805E-2</v>
      </c>
      <c r="AI43" s="136">
        <f>IF($AD$9=1,CTheOptionFormula($Y$14,BS!$P$6,IF($AB$9=1,$T43,BS!$C$8),IF($AB$9=2,$T43,BS!$C$9),AI$39/$AA$5,BS!$P$17,BS!$P$18,BS!$C$13)*$Y$30,"")</f>
        <v>-1.5235753863059087E-2</v>
      </c>
      <c r="AJ43" s="136">
        <f>IF($AD$9=1,CTheOptionFormula($Y$14,BS!$P$6,IF($AB$9=1,$T43,BS!$C$8),IF($AB$9=2,$T43,BS!$C$9),AJ$39/$AA$5,BS!$P$17,BS!$P$18,BS!$C$13)*$Y$30,"")</f>
        <v>-1.483914633688568E-2</v>
      </c>
      <c r="AK43" s="136">
        <f>IF($AD$9=1,CTheOptionFormula($Y$14,BS!$P$6,IF($AB$9=1,$T43,BS!$C$8),IF($AB$9=2,$T43,BS!$C$9),AK$39/$AA$5,BS!$P$17,BS!$P$18,BS!$C$13)*$Y$30,"")</f>
        <v>-1.436840691781328E-2</v>
      </c>
      <c r="AL43" s="136">
        <f>IF($AD$9=1,CTheOptionFormula($Y$14,BS!$P$6,IF($AB$9=1,$T43,BS!$C$8),IF($AB$9=2,$T43,BS!$C$9),AL$39/$AA$5,BS!$P$17,BS!$P$18,BS!$C$13)*$Y$30,"")</f>
        <v>-1.3841802104452773E-2</v>
      </c>
      <c r="AM43" s="136">
        <f>IF($AD$9=1,CTheOptionFormula($Y$14,BS!$P$6,IF($AB$9=1,$T43,BS!$C$8),IF($AB$9=2,$T43,BS!$C$9),AM$39/$AA$5,BS!$P$17,BS!$P$18,BS!$C$13)*$Y$30,"")</f>
        <v>-1.327373308146528E-2</v>
      </c>
      <c r="AN43" s="136">
        <f>IF($AD$9=1,CTheOptionFormula($Y$14,BS!$P$6,IF($AB$9=1,$T43,BS!$C$8),IF($AB$9=2,$T43,BS!$C$9),AN$39/$AA$5,BS!$P$17,BS!$P$18,BS!$C$13)*$Y$30,"")</f>
        <v>-1.2675582378874785E-2</v>
      </c>
      <c r="AO43" s="137">
        <f>IF($AD$9=1,CTheOptionFormula($Y$14,BS!$P$6,IF($AB$9=1,$T43,BS!$C$8),IF($AB$9=2,$T43,BS!$C$9),AO$39/$AA$5,BS!$P$17,BS!$P$18,BS!$C$13)*$Y$30,"")</f>
        <v>-1.2056368399211244E-2</v>
      </c>
      <c r="AQ43" s="133">
        <f t="shared" si="3"/>
        <v>3.3812499999999934</v>
      </c>
      <c r="AR43" s="138">
        <f>IF($AA$9=1,CTheOptionFormula($Y$14,BS!$P$6,IF($AB$9=1,$AQ43,BS!$C$8),IF($AB$9=2,$AQ43,BS!$C$9),$L$13/$AA$5,BS!$P$17,BS!$P$18,BS!$C$13)*$Y$30,"")</f>
        <v>-1.2539616662718398E-3</v>
      </c>
    </row>
    <row r="44" spans="20:44">
      <c r="T44" s="129">
        <f t="shared" si="2"/>
        <v>3.5999999999999965</v>
      </c>
      <c r="U44" s="135">
        <f>IF($AD$9=1,CTheOptionFormula($Y$14,BS!$P$6,IF($AB$9=1,$T44,BS!$C$8),IF($AB$9=2,$T44,BS!$C$9),U$39/$AA$5,BS!$P$17,BS!$P$18,BS!$C$13)*$Y$30,"")</f>
        <v>-8.4521664182916231E-30</v>
      </c>
      <c r="V44" s="136">
        <f>IF($AD$9=1,CTheOptionFormula($Y$14,BS!$P$6,IF($AB$9=1,$T44,BS!$C$8),IF($AB$9=2,$T44,BS!$C$9),V$39/$AA$5,BS!$P$17,BS!$P$18,BS!$C$13)*$Y$30,"")</f>
        <v>-1.7938709114635802E-4</v>
      </c>
      <c r="W44" s="136">
        <f>IF($AD$9=1,CTheOptionFormula($Y$14,BS!$P$6,IF($AB$9=1,$T44,BS!$C$8),IF($AB$9=2,$T44,BS!$C$9),W$39/$AA$5,BS!$P$17,BS!$P$18,BS!$C$13)*$Y$30,"")</f>
        <v>-2.9177321957001507E-3</v>
      </c>
      <c r="X44" s="136">
        <f>IF($AD$9=1,CTheOptionFormula($Y$14,BS!$P$6,IF($AB$9=1,$T44,BS!$C$8),IF($AB$9=2,$T44,BS!$C$9),X$39/$AA$5,BS!$P$17,BS!$P$18,BS!$C$13)*$Y$30,"")</f>
        <v>-7.1150855133470846E-3</v>
      </c>
      <c r="Y44" s="136">
        <f>IF($AD$9=1,CTheOptionFormula($Y$14,BS!$P$6,IF($AB$9=1,$T44,BS!$C$8),IF($AB$9=2,$T44,BS!$C$9),Y$39/$AA$5,BS!$P$17,BS!$P$18,BS!$C$13)*$Y$30,"")</f>
        <v>-1.0589883793257523E-2</v>
      </c>
      <c r="Z44" s="136">
        <f>IF($AD$9=1,CTheOptionFormula($Y$14,BS!$P$6,IF($AB$9=1,$T44,BS!$C$8),IF($AB$9=2,$T44,BS!$C$9),Z$39/$AA$5,BS!$P$17,BS!$P$18,BS!$C$13)*$Y$30,"")</f>
        <v>-1.2946876035437857E-2</v>
      </c>
      <c r="AA44" s="136">
        <f>IF($AD$9=1,CTheOptionFormula($Y$14,BS!$P$6,IF($AB$9=1,$T44,BS!$C$8),IF($AB$9=2,$T44,BS!$C$9),AA$39/$AA$5,BS!$P$17,BS!$P$18,BS!$C$13)*$Y$30,"")</f>
        <v>-1.4367495523288847E-2</v>
      </c>
      <c r="AB44" s="136">
        <f>IF($AD$9=1,CTheOptionFormula($Y$14,BS!$P$6,IF($AB$9=1,$T44,BS!$C$8),IF($AB$9=2,$T44,BS!$C$9),AB$39/$AA$5,BS!$P$17,BS!$P$18,BS!$C$13)*$Y$30,"")</f>
        <v>-1.5100775493222439E-2</v>
      </c>
      <c r="AC44" s="136">
        <f>IF($AD$9=1,CTheOptionFormula($Y$14,BS!$P$6,IF($AB$9=1,$T44,BS!$C$8),IF($AB$9=2,$T44,BS!$C$9),AC$39/$AA$5,BS!$P$17,BS!$P$18,BS!$C$13)*$Y$30,"")</f>
        <v>-1.5349816342207154E-2</v>
      </c>
      <c r="AD44" s="136">
        <f>IF($AD$9=1,CTheOptionFormula($Y$14,BS!$P$6,IF($AB$9=1,$T44,BS!$C$8),IF($AB$9=2,$T44,BS!$C$9),AD$39/$AA$5,BS!$P$17,BS!$P$18,BS!$C$13)*$Y$30,"")</f>
        <v>-1.5262463958171719E-2</v>
      </c>
      <c r="AE44" s="136">
        <f>IF($AD$9=1,CTheOptionFormula($Y$14,BS!$P$6,IF($AB$9=1,$T44,BS!$C$8),IF($AB$9=2,$T44,BS!$C$9),AE$39/$AA$5,BS!$P$17,BS!$P$18,BS!$C$13)*$Y$30,"")</f>
        <v>-1.4942873416971737E-2</v>
      </c>
      <c r="AF44" s="136">
        <f>IF($AD$9=1,CTheOptionFormula($Y$14,BS!$P$6,IF($AB$9=1,$T44,BS!$C$8),IF($AB$9=2,$T44,BS!$C$9),AF$39/$AA$5,BS!$P$17,BS!$P$18,BS!$C$13)*$Y$30,"")</f>
        <v>-1.4463941515891934E-2</v>
      </c>
      <c r="AG44" s="136">
        <f>IF($AD$9=1,CTheOptionFormula($Y$14,BS!$P$6,IF($AB$9=1,$T44,BS!$C$8),IF($AB$9=2,$T44,BS!$C$9),AG$39/$AA$5,BS!$P$17,BS!$P$18,BS!$C$13)*$Y$30,"")</f>
        <v>-1.387685013940311E-2</v>
      </c>
      <c r="AH44" s="136">
        <f>IF($AD$9=1,CTheOptionFormula($Y$14,BS!$P$6,IF($AB$9=1,$T44,BS!$C$8),IF($AB$9=2,$T44,BS!$C$9),AH$39/$AA$5,BS!$P$17,BS!$P$18,BS!$C$13)*$Y$30,"")</f>
        <v>-1.3217773060846595E-2</v>
      </c>
      <c r="AI44" s="136">
        <f>IF($AD$9=1,CTheOptionFormula($Y$14,BS!$P$6,IF($AB$9=1,$T44,BS!$C$8),IF($AB$9=2,$T44,BS!$C$9),AI$39/$AA$5,BS!$P$17,BS!$P$18,BS!$C$13)*$Y$30,"")</f>
        <v>-1.2512463730910884E-2</v>
      </c>
      <c r="AJ44" s="136">
        <f>IF($AD$9=1,CTheOptionFormula($Y$14,BS!$P$6,IF($AB$9=1,$T44,BS!$C$8),IF($AB$9=2,$T44,BS!$C$9),AJ$39/$AA$5,BS!$P$17,BS!$P$18,BS!$C$13)*$Y$30,"")</f>
        <v>-1.177937878548754E-2</v>
      </c>
      <c r="AK44" s="136">
        <f>IF($AD$9=1,CTheOptionFormula($Y$14,BS!$P$6,IF($AB$9=1,$T44,BS!$C$8),IF($AB$9=2,$T44,BS!$C$9),AK$39/$AA$5,BS!$P$17,BS!$P$18,BS!$C$13)*$Y$30,"")</f>
        <v>-1.1031814530526658E-2</v>
      </c>
      <c r="AL44" s="136">
        <f>IF($AD$9=1,CTheOptionFormula($Y$14,BS!$P$6,IF($AB$9=1,$T44,BS!$C$8),IF($AB$9=2,$T44,BS!$C$9),AL$39/$AA$5,BS!$P$17,BS!$P$18,BS!$C$13)*$Y$30,"")</f>
        <v>-1.0279381108138398E-2</v>
      </c>
      <c r="AM44" s="136">
        <f>IF($AD$9=1,CTheOptionFormula($Y$14,BS!$P$6,IF($AB$9=1,$T44,BS!$C$8),IF($AB$9=2,$T44,BS!$C$9),AM$39/$AA$5,BS!$P$17,BS!$P$18,BS!$C$13)*$Y$30,"")</f>
        <v>-9.5290302713987255E-3</v>
      </c>
      <c r="AN44" s="136">
        <f>IF($AD$9=1,CTheOptionFormula($Y$14,BS!$P$6,IF($AB$9=1,$T44,BS!$C$8),IF($AB$9=2,$T44,BS!$C$9),AN$39/$AA$5,BS!$P$17,BS!$P$18,BS!$C$13)*$Y$30,"")</f>
        <v>-8.7857797365254557E-3</v>
      </c>
      <c r="AO44" s="137">
        <f>IF($AD$9=1,CTheOptionFormula($Y$14,BS!$P$6,IF($AB$9=1,$T44,BS!$C$8),IF($AB$9=2,$T44,BS!$C$9),AO$39/$AA$5,BS!$P$17,BS!$P$18,BS!$C$13)*$Y$30,"")</f>
        <v>-8.0532291607885408E-3</v>
      </c>
      <c r="AQ44" s="133">
        <f t="shared" si="3"/>
        <v>3.4249999999999936</v>
      </c>
      <c r="AR44" s="138">
        <f>IF($AA$9=1,CTheOptionFormula($Y$14,BS!$P$6,IF($AB$9=1,$AQ44,BS!$C$8),IF($AB$9=2,$AQ44,BS!$C$9),$L$13/$AA$5,BS!$P$17,BS!$P$18,BS!$C$13)*$Y$30,"")</f>
        <v>-2.1821804133050344E-3</v>
      </c>
    </row>
    <row r="45" spans="20:44">
      <c r="T45" s="129">
        <f t="shared" si="2"/>
        <v>3.6874999999999964</v>
      </c>
      <c r="U45" s="135">
        <f>IF($AD$9=1,CTheOptionFormula($Y$14,BS!$P$6,IF($AB$9=1,$T45,BS!$C$8),IF($AB$9=2,$T45,BS!$C$9),U$39/$AA$5,BS!$P$17,BS!$P$18,BS!$C$13)*$Y$30,"")</f>
        <v>-2.310243665032362E-18</v>
      </c>
      <c r="V45" s="136">
        <f>IF($AD$9=1,CTheOptionFormula($Y$14,BS!$P$6,IF($AB$9=1,$T45,BS!$C$8),IF($AB$9=2,$T45,BS!$C$9),V$39/$AA$5,BS!$P$17,BS!$P$18,BS!$C$13)*$Y$30,"")</f>
        <v>-1.7726182512089728E-3</v>
      </c>
      <c r="W45" s="136">
        <f>IF($AD$9=1,CTheOptionFormula($Y$14,BS!$P$6,IF($AB$9=1,$T45,BS!$C$8),IF($AB$9=2,$T45,BS!$C$9),W$39/$AA$5,BS!$P$17,BS!$P$18,BS!$C$13)*$Y$30,"")</f>
        <v>-8.0031502662855827E-3</v>
      </c>
      <c r="X45" s="136">
        <f>IF($AD$9=1,CTheOptionFormula($Y$14,BS!$P$6,IF($AB$9=1,$T45,BS!$C$8),IF($AB$9=2,$T45,BS!$C$9),X$39/$AA$5,BS!$P$17,BS!$P$18,BS!$C$13)*$Y$30,"")</f>
        <v>-1.2257637122173752E-2</v>
      </c>
      <c r="Y45" s="136">
        <f>IF($AD$9=1,CTheOptionFormula($Y$14,BS!$P$6,IF($AB$9=1,$T45,BS!$C$8),IF($AB$9=2,$T45,BS!$C$9),Y$39/$AA$5,BS!$P$17,BS!$P$18,BS!$C$13)*$Y$30,"")</f>
        <v>-1.4279843929924032E-2</v>
      </c>
      <c r="Z45" s="136">
        <f>IF($AD$9=1,CTheOptionFormula($Y$14,BS!$P$6,IF($AB$9=1,$T45,BS!$C$8),IF($AB$9=2,$T45,BS!$C$9),Z$39/$AA$5,BS!$P$17,BS!$P$18,BS!$C$13)*$Y$30,"")</f>
        <v>-1.4956281758222313E-2</v>
      </c>
      <c r="AA45" s="136">
        <f>IF($AD$9=1,CTheOptionFormula($Y$14,BS!$P$6,IF($AB$9=1,$T45,BS!$C$8),IF($AB$9=2,$T45,BS!$C$9),AA$39/$AA$5,BS!$P$17,BS!$P$18,BS!$C$13)*$Y$30,"")</f>
        <v>-1.4878810354957916E-2</v>
      </c>
      <c r="AB45" s="136">
        <f>IF($AD$9=1,CTheOptionFormula($Y$14,BS!$P$6,IF($AB$9=1,$T45,BS!$C$8),IF($AB$9=2,$T45,BS!$C$9),AB$39/$AA$5,BS!$P$17,BS!$P$18,BS!$C$13)*$Y$30,"")</f>
        <v>-1.4382481617734685E-2</v>
      </c>
      <c r="AC45" s="136">
        <f>IF($AD$9=1,CTheOptionFormula($Y$14,BS!$P$6,IF($AB$9=1,$T45,BS!$C$8),IF($AB$9=2,$T45,BS!$C$9),AC$39/$AA$5,BS!$P$17,BS!$P$18,BS!$C$13)*$Y$30,"")</f>
        <v>-1.3655470352617801E-2</v>
      </c>
      <c r="AD45" s="136">
        <f>IF($AD$9=1,CTheOptionFormula($Y$14,BS!$P$6,IF($AB$9=1,$T45,BS!$C$8),IF($AB$9=2,$T45,BS!$C$9),AD$39/$AA$5,BS!$P$17,BS!$P$18,BS!$C$13)*$Y$30,"")</f>
        <v>-1.2805571434533973E-2</v>
      </c>
      <c r="AE45" s="136">
        <f>IF($AD$9=1,CTheOptionFormula($Y$14,BS!$P$6,IF($AB$9=1,$T45,BS!$C$8),IF($AB$9=2,$T45,BS!$C$9),AE$39/$AA$5,BS!$P$17,BS!$P$18,BS!$C$13)*$Y$30,"")</f>
        <v>-1.1895917449331632E-2</v>
      </c>
      <c r="AF45" s="136">
        <f>IF($AD$9=1,CTheOptionFormula($Y$14,BS!$P$6,IF($AB$9=1,$T45,BS!$C$8),IF($AB$9=2,$T45,BS!$C$9),AF$39/$AA$5,BS!$P$17,BS!$P$18,BS!$C$13)*$Y$30,"")</f>
        <v>-1.0964133163958296E-2</v>
      </c>
      <c r="AG45" s="136">
        <f>IF($AD$9=1,CTheOptionFormula($Y$14,BS!$P$6,IF($AB$9=1,$T45,BS!$C$8),IF($AB$9=2,$T45,BS!$C$9),AG$39/$AA$5,BS!$P$17,BS!$P$18,BS!$C$13)*$Y$30,"")</f>
        <v>-1.0032862122975082E-2</v>
      </c>
      <c r="AH45" s="136">
        <f>IF($AD$9=1,CTheOptionFormula($Y$14,BS!$P$6,IF($AB$9=1,$T45,BS!$C$8),IF($AB$9=2,$T45,BS!$C$9),AH$39/$AA$5,BS!$P$17,BS!$P$18,BS!$C$13)*$Y$30,"")</f>
        <v>-9.115727232238878E-3</v>
      </c>
      <c r="AI45" s="136">
        <f>IF($AD$9=1,CTheOptionFormula($Y$14,BS!$P$6,IF($AB$9=1,$T45,BS!$C$8),IF($AB$9=2,$T45,BS!$C$9),AI$39/$AA$5,BS!$P$17,BS!$P$18,BS!$C$13)*$Y$30,"")</f>
        <v>-8.2208058658551474E-3</v>
      </c>
      <c r="AJ45" s="136">
        <f>IF($AD$9=1,CTheOptionFormula($Y$14,BS!$P$6,IF($AB$9=1,$T45,BS!$C$8),IF($AB$9=2,$T45,BS!$C$9),AJ$39/$AA$5,BS!$P$17,BS!$P$18,BS!$C$13)*$Y$30,"")</f>
        <v>-7.3527104263034215E-3</v>
      </c>
      <c r="AK45" s="136">
        <f>IF($AD$9=1,CTheOptionFormula($Y$14,BS!$P$6,IF($AB$9=1,$T45,BS!$C$8),IF($AB$9=2,$T45,BS!$C$9),AK$39/$AA$5,BS!$P$17,BS!$P$18,BS!$C$13)*$Y$30,"")</f>
        <v>-6.513863440982386E-3</v>
      </c>
      <c r="AL45" s="136">
        <f>IF($AD$9=1,CTheOptionFormula($Y$14,BS!$P$6,IF($AB$9=1,$T45,BS!$C$8),IF($AB$9=2,$T45,BS!$C$9),AL$39/$AA$5,BS!$P$17,BS!$P$18,BS!$C$13)*$Y$30,"")</f>
        <v>-5.7052949088110131E-3</v>
      </c>
      <c r="AM45" s="136">
        <f>IF($AD$9=1,CTheOptionFormula($Y$14,BS!$P$6,IF($AB$9=1,$T45,BS!$C$8),IF($AB$9=2,$T45,BS!$C$9),AM$39/$AA$5,BS!$P$17,BS!$P$18,BS!$C$13)*$Y$30,"")</f>
        <v>-4.9271494274618242E-3</v>
      </c>
      <c r="AN45" s="136">
        <f>IF($AD$9=1,CTheOptionFormula($Y$14,BS!$P$6,IF($AB$9=1,$T45,BS!$C$8),IF($AB$9=2,$T45,BS!$C$9),AN$39/$AA$5,BS!$P$17,BS!$P$18,BS!$C$13)*$Y$30,"")</f>
        <v>-4.1790132407464294E-3</v>
      </c>
      <c r="AO45" s="137">
        <f>IF($AD$9=1,CTheOptionFormula($Y$14,BS!$P$6,IF($AB$9=1,$T45,BS!$C$8),IF($AB$9=2,$T45,BS!$C$9),AO$39/$AA$5,BS!$P$17,BS!$P$18,BS!$C$13)*$Y$30,"")</f>
        <v>-3.460127439925801E-3</v>
      </c>
      <c r="AQ45" s="133">
        <f t="shared" si="3"/>
        <v>3.4687499999999938</v>
      </c>
      <c r="AR45" s="138">
        <f>IF($AA$9=1,CTheOptionFormula($Y$14,BS!$P$6,IF($AB$9=1,$AQ45,BS!$C$8),IF($AB$9=2,$AQ45,BS!$C$9),$L$13/$AA$5,BS!$P$17,BS!$P$18,BS!$C$13)*$Y$30,"")</f>
        <v>-3.5399520489595221E-3</v>
      </c>
    </row>
    <row r="46" spans="20:44">
      <c r="T46" s="129">
        <f t="shared" si="2"/>
        <v>3.7749999999999964</v>
      </c>
      <c r="U46" s="135">
        <f>IF($AD$9=1,CTheOptionFormula($Y$14,BS!$P$6,IF($AB$9=1,$T46,BS!$C$8),IF($AB$9=2,$T46,BS!$C$9),U$39/$AA$5,BS!$P$17,BS!$P$18,BS!$C$13)*$Y$30,"")</f>
        <v>-4.1007001951898103E-10</v>
      </c>
      <c r="V46" s="136">
        <f>IF($AD$9=1,CTheOptionFormula($Y$14,BS!$P$6,IF($AB$9=1,$T46,BS!$C$8),IF($AB$9=2,$T46,BS!$C$9),V$39/$AA$5,BS!$P$17,BS!$P$18,BS!$C$13)*$Y$30,"")</f>
        <v>-7.7424313767162937E-3</v>
      </c>
      <c r="W46" s="136">
        <f>IF($AD$9=1,CTheOptionFormula($Y$14,BS!$P$6,IF($AB$9=1,$T46,BS!$C$8),IF($AB$9=2,$T46,BS!$C$9),W$39/$AA$5,BS!$P$17,BS!$P$18,BS!$C$13)*$Y$30,"")</f>
        <v>-1.3591326033058435E-2</v>
      </c>
      <c r="X46" s="136">
        <f>IF($AD$9=1,CTheOptionFormula($Y$14,BS!$P$6,IF($AB$9=1,$T46,BS!$C$8),IF($AB$9=2,$T46,BS!$C$9),X$39/$AA$5,BS!$P$17,BS!$P$18,BS!$C$13)*$Y$30,"")</f>
        <v>-1.4647492860486533E-2</v>
      </c>
      <c r="Y46" s="136">
        <f>IF($AD$9=1,CTheOptionFormula($Y$14,BS!$P$6,IF($AB$9=1,$T46,BS!$C$8),IF($AB$9=2,$T46,BS!$C$9),Y$39/$AA$5,BS!$P$17,BS!$P$18,BS!$C$13)*$Y$30,"")</f>
        <v>-1.4069600203941733E-2</v>
      </c>
      <c r="Z46" s="136">
        <f>IF($AD$9=1,CTheOptionFormula($Y$14,BS!$P$6,IF($AB$9=1,$T46,BS!$C$8),IF($AB$9=2,$T46,BS!$C$9),Z$39/$AA$5,BS!$P$17,BS!$P$18,BS!$C$13)*$Y$30,"")</f>
        <v>-1.2948215931974941E-2</v>
      </c>
      <c r="AA46" s="136">
        <f>IF($AD$9=1,CTheOptionFormula($Y$14,BS!$P$6,IF($AB$9=1,$T46,BS!$C$8),IF($AB$9=2,$T46,BS!$C$9),AA$39/$AA$5,BS!$P$17,BS!$P$18,BS!$C$13)*$Y$30,"")</f>
        <v>-1.1667591034731599E-2</v>
      </c>
      <c r="AB46" s="136">
        <f>IF($AD$9=1,CTheOptionFormula($Y$14,BS!$P$6,IF($AB$9=1,$T46,BS!$C$8),IF($AB$9=2,$T46,BS!$C$9),AB$39/$AA$5,BS!$P$17,BS!$P$18,BS!$C$13)*$Y$30,"")</f>
        <v>-1.0373877415286279E-2</v>
      </c>
      <c r="AC46" s="136">
        <f>IF($AD$9=1,CTheOptionFormula($Y$14,BS!$P$6,IF($AB$9=1,$T46,BS!$C$8),IF($AB$9=2,$T46,BS!$C$9),AC$39/$AA$5,BS!$P$17,BS!$P$18,BS!$C$13)*$Y$30,"")</f>
        <v>-9.1242355067325497E-3</v>
      </c>
      <c r="AD46" s="136">
        <f>IF($AD$9=1,CTheOptionFormula($Y$14,BS!$P$6,IF($AB$9=1,$T46,BS!$C$8),IF($AB$9=2,$T46,BS!$C$9),AD$39/$AA$5,BS!$P$17,BS!$P$18,BS!$C$13)*$Y$30,"")</f>
        <v>-7.9397349088446215E-3</v>
      </c>
      <c r="AE46" s="136">
        <f>IF($AD$9=1,CTheOptionFormula($Y$14,BS!$P$6,IF($AB$9=1,$T46,BS!$C$8),IF($AB$9=2,$T46,BS!$C$9),AE$39/$AA$5,BS!$P$17,BS!$P$18,BS!$C$13)*$Y$30,"")</f>
        <v>-6.8260540901619203E-3</v>
      </c>
      <c r="AF46" s="136">
        <f>IF($AD$9=1,CTheOptionFormula($Y$14,BS!$P$6,IF($AB$9=1,$T46,BS!$C$8),IF($AB$9=2,$T46,BS!$C$9),AF$39/$AA$5,BS!$P$17,BS!$P$18,BS!$C$13)*$Y$30,"")</f>
        <v>-5.7822091725078066E-3</v>
      </c>
      <c r="AG46" s="136">
        <f>IF($AD$9=1,CTheOptionFormula($Y$14,BS!$P$6,IF($AB$9=1,$T46,BS!$C$8),IF($AB$9=2,$T46,BS!$C$9),AG$39/$AA$5,BS!$P$17,BS!$P$18,BS!$C$13)*$Y$30,"")</f>
        <v>-4.8044347108664644E-3</v>
      </c>
      <c r="AH46" s="136">
        <f>IF($AD$9=1,CTheOptionFormula($Y$14,BS!$P$6,IF($AB$9=1,$T46,BS!$C$8),IF($AB$9=2,$T46,BS!$C$9),AH$39/$AA$5,BS!$P$17,BS!$P$18,BS!$C$13)*$Y$30,"")</f>
        <v>-3.8879651770854628E-3</v>
      </c>
      <c r="AI46" s="136">
        <f>IF($AD$9=1,CTheOptionFormula($Y$14,BS!$P$6,IF($AB$9=1,$T46,BS!$C$8),IF($AB$9=2,$T46,BS!$C$9),AI$39/$AA$5,BS!$P$17,BS!$P$18,BS!$C$13)*$Y$30,"")</f>
        <v>-3.0278599761395051E-3</v>
      </c>
      <c r="AJ46" s="136">
        <f>IF($AD$9=1,CTheOptionFormula($Y$14,BS!$P$6,IF($AB$9=1,$T46,BS!$C$8),IF($AB$9=2,$T46,BS!$C$9),AJ$39/$AA$5,BS!$P$17,BS!$P$18,BS!$C$13)*$Y$30,"")</f>
        <v>-2.2193765057007299E-3</v>
      </c>
      <c r="AK46" s="136">
        <f>IF($AD$9=1,CTheOptionFormula($Y$14,BS!$P$6,IF($AB$9=1,$T46,BS!$C$8),IF($AB$9=2,$T46,BS!$C$9),AK$39/$AA$5,BS!$P$17,BS!$P$18,BS!$C$13)*$Y$30,"")</f>
        <v>-1.458124848937002E-3</v>
      </c>
      <c r="AL46" s="136">
        <f>IF($AD$9=1,CTheOptionFormula($Y$14,BS!$P$6,IF($AB$9=1,$T46,BS!$C$8),IF($AB$9=2,$T46,BS!$C$9),AL$39/$AA$5,BS!$P$17,BS!$P$18,BS!$C$13)*$Y$30,"")</f>
        <v>-7.4011632046937638E-4</v>
      </c>
      <c r="AM46" s="136">
        <f>IF($AD$9=1,CTheOptionFormula($Y$14,BS!$P$6,IF($AB$9=1,$T46,BS!$C$8),IF($AB$9=2,$T46,BS!$C$9),AM$39/$AA$5,BS!$P$17,BS!$P$18,BS!$C$13)*$Y$30,"")</f>
        <v>-6.176124823127132E-5</v>
      </c>
      <c r="AN46" s="136">
        <f>IF($AD$9=1,CTheOptionFormula($Y$14,BS!$P$6,IF($AB$9=1,$T46,BS!$C$8),IF($AB$9=2,$T46,BS!$C$9),AN$39/$AA$5,BS!$P$17,BS!$P$18,BS!$C$13)*$Y$30,"")</f>
        <v>5.8015621669305734E-4</v>
      </c>
      <c r="AO46" s="137">
        <f>IF($AD$9=1,CTheOptionFormula($Y$14,BS!$P$6,IF($AB$9=1,$T46,BS!$C$8),IF($AB$9=2,$T46,BS!$C$9),AO$39/$AA$5,BS!$P$17,BS!$P$18,BS!$C$13)*$Y$30,"")</f>
        <v>1.1885122484928967E-3</v>
      </c>
      <c r="AQ46" s="133">
        <f t="shared" si="3"/>
        <v>3.512499999999994</v>
      </c>
      <c r="AR46" s="138">
        <f>IF($AA$9=1,CTheOptionFormula($Y$14,BS!$P$6,IF($AB$9=1,$AQ46,BS!$C$8),IF($AB$9=2,$AQ46,BS!$C$9),$L$13/$AA$5,BS!$P$17,BS!$P$18,BS!$C$13)*$Y$30,"")</f>
        <v>-5.3581680992097914E-3</v>
      </c>
    </row>
    <row r="47" spans="20:44">
      <c r="T47" s="129">
        <f t="shared" si="2"/>
        <v>3.8624999999999963</v>
      </c>
      <c r="U47" s="135">
        <f>IF($AD$9=1,CTheOptionFormula($Y$14,BS!$P$6,IF($AB$9=1,$T47,BS!$C$8),IF($AB$9=2,$T47,BS!$C$9),U$39/$AA$5,BS!$P$17,BS!$P$18,BS!$C$13)*$Y$30,"")</f>
        <v>-7.0449730833432295E-5</v>
      </c>
      <c r="V47" s="136">
        <f>IF($AD$9=1,CTheOptionFormula($Y$14,BS!$P$6,IF($AB$9=1,$T47,BS!$C$8),IF($AB$9=2,$T47,BS!$C$9),V$39/$AA$5,BS!$P$17,BS!$P$18,BS!$C$13)*$Y$30,"")</f>
        <v>-1.4210049403835518E-2</v>
      </c>
      <c r="W47" s="136">
        <f>IF($AD$9=1,CTheOptionFormula($Y$14,BS!$P$6,IF($AB$9=1,$T47,BS!$C$8),IF($AB$9=2,$T47,BS!$C$9),W$39/$AA$5,BS!$P$17,BS!$P$18,BS!$C$13)*$Y$30,"")</f>
        <v>-1.3023618866716572E-2</v>
      </c>
      <c r="X47" s="136">
        <f>IF($AD$9=1,CTheOptionFormula($Y$14,BS!$P$6,IF($AB$9=1,$T47,BS!$C$8),IF($AB$9=2,$T47,BS!$C$9),X$39/$AA$5,BS!$P$17,BS!$P$18,BS!$C$13)*$Y$30,"")</f>
        <v>-1.0705507531958253E-2</v>
      </c>
      <c r="Y47" s="136">
        <f>IF($AD$9=1,CTheOptionFormula($Y$14,BS!$P$6,IF($AB$9=1,$T47,BS!$C$8),IF($AB$9=2,$T47,BS!$C$9),Y$39/$AA$5,BS!$P$17,BS!$P$18,BS!$C$13)*$Y$30,"")</f>
        <v>-8.6084767883551367E-3</v>
      </c>
      <c r="Z47" s="136">
        <f>IF($AD$9=1,CTheOptionFormula($Y$14,BS!$P$6,IF($AB$9=1,$T47,BS!$C$8),IF($AB$9=2,$T47,BS!$C$9),Z$39/$AA$5,BS!$P$17,BS!$P$18,BS!$C$13)*$Y$30,"")</f>
        <v>-6.8141887143327385E-3</v>
      </c>
      <c r="AA47" s="136">
        <f>IF($AD$9=1,CTheOptionFormula($Y$14,BS!$P$6,IF($AB$9=1,$T47,BS!$C$8),IF($AB$9=2,$T47,BS!$C$9),AA$39/$AA$5,BS!$P$17,BS!$P$18,BS!$C$13)*$Y$30,"")</f>
        <v>-5.2741947456757783E-3</v>
      </c>
      <c r="AB47" s="136">
        <f>IF($AD$9=1,CTheOptionFormula($Y$14,BS!$P$6,IF($AB$9=1,$T47,BS!$C$8),IF($AB$9=2,$T47,BS!$C$9),AB$39/$AA$5,BS!$P$17,BS!$P$18,BS!$C$13)*$Y$30,"")</f>
        <v>-3.9358507003077019E-3</v>
      </c>
      <c r="AC47" s="136">
        <f>IF($AD$9=1,CTheOptionFormula($Y$14,BS!$P$6,IF($AB$9=1,$T47,BS!$C$8),IF($AB$9=2,$T47,BS!$C$9),AC$39/$AA$5,BS!$P$17,BS!$P$18,BS!$C$13)*$Y$30,"")</f>
        <v>-2.7575837271487341E-3</v>
      </c>
      <c r="AD47" s="136">
        <f>IF($AD$9=1,CTheOptionFormula($Y$14,BS!$P$6,IF($AB$9=1,$T47,BS!$C$8),IF($AB$9=2,$T47,BS!$C$9),AD$39/$AA$5,BS!$P$17,BS!$P$18,BS!$C$13)*$Y$30,"")</f>
        <v>-1.7081972493623477E-3</v>
      </c>
      <c r="AE47" s="136">
        <f>IF($AD$9=1,CTheOptionFormula($Y$14,BS!$P$6,IF($AB$9=1,$T47,BS!$C$8),IF($AB$9=2,$T47,BS!$C$9),AE$39/$AA$5,BS!$P$17,BS!$P$18,BS!$C$13)*$Y$30,"")</f>
        <v>-7.6430195856767662E-4</v>
      </c>
      <c r="AF47" s="136">
        <f>IF($AD$9=1,CTheOptionFormula($Y$14,BS!$P$6,IF($AB$9=1,$T47,BS!$C$8),IF($AB$9=2,$T47,BS!$C$9),AF$39/$AA$5,BS!$P$17,BS!$P$18,BS!$C$13)*$Y$30,"")</f>
        <v>9.1861621703147493E-5</v>
      </c>
      <c r="AG47" s="136">
        <f>IF($AD$9=1,CTheOptionFormula($Y$14,BS!$P$6,IF($AB$9=1,$T47,BS!$C$8),IF($AB$9=2,$T47,BS!$C$9),AG$39/$AA$5,BS!$P$17,BS!$P$18,BS!$C$13)*$Y$30,"")</f>
        <v>8.7399868695117093E-4</v>
      </c>
      <c r="AH47" s="136">
        <f>IF($AD$9=1,CTheOptionFormula($Y$14,BS!$P$6,IF($AB$9=1,$T47,BS!$C$8),IF($AB$9=2,$T47,BS!$C$9),AH$39/$AA$5,BS!$P$17,BS!$P$18,BS!$C$13)*$Y$30,"")</f>
        <v>1.5928612892414907E-3</v>
      </c>
      <c r="AI47" s="136">
        <f>IF($AD$9=1,CTheOptionFormula($Y$14,BS!$P$6,IF($AB$9=1,$T47,BS!$C$8),IF($AB$9=2,$T47,BS!$C$9),AI$39/$AA$5,BS!$P$17,BS!$P$18,BS!$C$13)*$Y$30,"")</f>
        <v>2.2570171031487747E-3</v>
      </c>
      <c r="AJ47" s="136">
        <f>IF($AD$9=1,CTheOptionFormula($Y$14,BS!$P$6,IF($AB$9=1,$T47,BS!$C$8),IF($AB$9=2,$T47,BS!$C$9),AJ$39/$AA$5,BS!$P$17,BS!$P$18,BS!$C$13)*$Y$30,"")</f>
        <v>2.8733917957810039E-3</v>
      </c>
      <c r="AK47" s="136">
        <f>IF($AD$9=1,CTheOptionFormula($Y$14,BS!$P$6,IF($AB$9=1,$T47,BS!$C$8),IF($AB$9=2,$T47,BS!$C$9),AK$39/$AA$5,BS!$P$17,BS!$P$18,BS!$C$13)*$Y$30,"")</f>
        <v>3.4476572606569646E-3</v>
      </c>
      <c r="AL47" s="136">
        <f>IF($AD$9=1,CTheOptionFormula($Y$14,BS!$P$6,IF($AB$9=1,$T47,BS!$C$8),IF($AB$9=2,$T47,BS!$C$9),AL$39/$AA$5,BS!$P$17,BS!$P$18,BS!$C$13)*$Y$30,"")</f>
        <v>3.9845138793152077E-3</v>
      </c>
      <c r="AM47" s="136">
        <f>IF($AD$9=1,CTheOptionFormula($Y$14,BS!$P$6,IF($AB$9=1,$T47,BS!$C$8),IF($AB$9=2,$T47,BS!$C$9),AM$39/$AA$5,BS!$P$17,BS!$P$18,BS!$C$13)*$Y$30,"")</f>
        <v>4.4878989197487933E-3</v>
      </c>
      <c r="AN47" s="136">
        <f>IF($AD$9=1,CTheOptionFormula($Y$14,BS!$P$6,IF($AB$9=1,$T47,BS!$C$8),IF($AB$9=2,$T47,BS!$C$9),AN$39/$AA$5,BS!$P$17,BS!$P$18,BS!$C$13)*$Y$30,"")</f>
        <v>4.9611426772333319E-3</v>
      </c>
      <c r="AO47" s="137">
        <f>IF($AD$9=1,CTheOptionFormula($Y$14,BS!$P$6,IF($AB$9=1,$T47,BS!$C$8),IF($AB$9=2,$T47,BS!$C$9),AO$39/$AA$5,BS!$P$17,BS!$P$18,BS!$C$13)*$Y$30,"")</f>
        <v>5.4070870854442208E-3</v>
      </c>
      <c r="AQ47" s="133">
        <f t="shared" si="3"/>
        <v>3.5562499999999941</v>
      </c>
      <c r="AR47" s="138">
        <f>IF($AA$9=1,CTheOptionFormula($Y$14,BS!$P$6,IF($AB$9=1,$AQ47,BS!$C$8),IF($AB$9=2,$AQ47,BS!$C$9),$L$13/$AA$5,BS!$P$17,BS!$P$18,BS!$C$13)*$Y$30,"")</f>
        <v>-7.5706513263617704E-3</v>
      </c>
    </row>
    <row r="48" spans="20:44" ht="13.5" thickBot="1">
      <c r="T48" s="129">
        <f t="shared" si="2"/>
        <v>3.9499999999999962</v>
      </c>
      <c r="U48" s="135">
        <f>IF($AD$9=1,CTheOptionFormula($Y$14,BS!$P$6,IF($AB$9=1,$T48,BS!$C$8),IF($AB$9=2,$T48,BS!$C$9),U$39/$AA$5,BS!$P$17,BS!$P$18,BS!$C$13)*$Y$30,"")</f>
        <v>-1.2645827333946091E-2</v>
      </c>
      <c r="V48" s="136">
        <f>IF($AD$9=1,CTheOptionFormula($Y$14,BS!$P$6,IF($AB$9=1,$T48,BS!$C$8),IF($AB$9=2,$T48,BS!$C$9),V$39/$AA$5,BS!$P$17,BS!$P$18,BS!$C$13)*$Y$30,"")</f>
        <v>-6.8796220311220383E-3</v>
      </c>
      <c r="W48" s="136">
        <f>IF($AD$9=1,CTheOptionFormula($Y$14,BS!$P$6,IF($AB$9=1,$T48,BS!$C$8),IF($AB$9=2,$T48,BS!$C$9),W$39/$AA$5,BS!$P$17,BS!$P$18,BS!$C$13)*$Y$30,"")</f>
        <v>-3.3620341627425411E-3</v>
      </c>
      <c r="X48" s="136">
        <f>IF($AD$9=1,CTheOptionFormula($Y$14,BS!$P$6,IF($AB$9=1,$T48,BS!$C$8),IF($AB$9=2,$T48,BS!$C$9),X$39/$AA$5,BS!$P$17,BS!$P$18,BS!$C$13)*$Y$30,"")</f>
        <v>-1.2792985944189985E-3</v>
      </c>
      <c r="Y48" s="136">
        <f>IF($AD$9=1,CTheOptionFormula($Y$14,BS!$P$6,IF($AB$9=1,$T48,BS!$C$8),IF($AB$9=2,$T48,BS!$C$9),Y$39/$AA$5,BS!$P$17,BS!$P$18,BS!$C$13)*$Y$30,"")</f>
        <v>2.0623602957549084E-4</v>
      </c>
      <c r="Z48" s="136">
        <f>IF($AD$9=1,CTheOptionFormula($Y$14,BS!$P$6,IF($AB$9=1,$T48,BS!$C$8),IF($AB$9=2,$T48,BS!$C$9),Z$39/$AA$5,BS!$P$17,BS!$P$18,BS!$C$13)*$Y$30,"")</f>
        <v>1.3670666962849194E-3</v>
      </c>
      <c r="AA48" s="136">
        <f>IF($AD$9=1,CTheOptionFormula($Y$14,BS!$P$6,IF($AB$9=1,$T48,BS!$C$8),IF($AB$9=2,$T48,BS!$C$9),AA$39/$AA$5,BS!$P$17,BS!$P$18,BS!$C$13)*$Y$30,"")</f>
        <v>2.3236460612724467E-3</v>
      </c>
      <c r="AB48" s="136">
        <f>IF($AD$9=1,CTheOptionFormula($Y$14,BS!$P$6,IF($AB$9=1,$T48,BS!$C$8),IF($AB$9=2,$T48,BS!$C$9),AB$39/$AA$5,BS!$P$17,BS!$P$18,BS!$C$13)*$Y$30,"")</f>
        <v>3.1393873904751418E-3</v>
      </c>
      <c r="AC48" s="136">
        <f>IF($AD$9=1,CTheOptionFormula($Y$14,BS!$P$6,IF($AB$9=1,$T48,BS!$C$8),IF($AB$9=2,$T48,BS!$C$9),AC$39/$AA$5,BS!$P$17,BS!$P$18,BS!$C$13)*$Y$30,"")</f>
        <v>3.8516930502732029E-3</v>
      </c>
      <c r="AD48" s="136">
        <f>IF($AD$9=1,CTheOptionFormula($Y$14,BS!$P$6,IF($AB$9=1,$T48,BS!$C$8),IF($AB$9=2,$T48,BS!$C$9),AD$39/$AA$5,BS!$P$17,BS!$P$18,BS!$C$13)*$Y$30,"")</f>
        <v>4.4844639530748128E-3</v>
      </c>
      <c r="AE48" s="136">
        <f>IF($AD$9=1,CTheOptionFormula($Y$14,BS!$P$6,IF($AB$9=1,$T48,BS!$C$8),IF($AB$9=2,$T48,BS!$C$9),AE$39/$AA$5,BS!$P$17,BS!$P$18,BS!$C$13)*$Y$30,"")</f>
        <v>5.053911782455082E-3</v>
      </c>
      <c r="AF48" s="136">
        <f>IF($AD$9=1,CTheOptionFormula($Y$14,BS!$P$6,IF($AB$9=1,$T48,BS!$C$8),IF($AB$9=2,$T48,BS!$C$9),AF$39/$AA$5,BS!$P$17,BS!$P$18,BS!$C$13)*$Y$30,"")</f>
        <v>5.5715520484313817E-3</v>
      </c>
      <c r="AG48" s="136">
        <f>IF($AD$9=1,CTheOptionFormula($Y$14,BS!$P$6,IF($AB$9=1,$T48,BS!$C$8),IF($AB$9=2,$T48,BS!$C$9),AG$39/$AA$5,BS!$P$17,BS!$P$18,BS!$C$13)*$Y$30,"")</f>
        <v>6.0458709126636158E-3</v>
      </c>
      <c r="AH48" s="136">
        <f>IF($AD$9=1,CTheOptionFormula($Y$14,BS!$P$6,IF($AB$9=1,$T48,BS!$C$8),IF($AB$9=2,$T48,BS!$C$9),AH$39/$AA$5,BS!$P$17,BS!$P$18,BS!$C$13)*$Y$30,"")</f>
        <v>6.4833125596274197E-3</v>
      </c>
      <c r="AI48" s="136">
        <f>IF($AD$9=1,CTheOptionFormula($Y$14,BS!$P$6,IF($AB$9=1,$T48,BS!$C$8),IF($AB$9=2,$T48,BS!$C$9),AI$39/$AA$5,BS!$P$17,BS!$P$18,BS!$C$13)*$Y$30,"")</f>
        <v>6.8888940777895157E-3</v>
      </c>
      <c r="AJ48" s="136">
        <f>IF($AD$9=1,CTheOptionFormula($Y$14,BS!$P$6,IF($AB$9=1,$T48,BS!$C$8),IF($AB$9=2,$T48,BS!$C$9),AJ$39/$AA$5,BS!$P$17,BS!$P$18,BS!$C$13)*$Y$30,"")</f>
        <v>7.2666045489481242E-3</v>
      </c>
      <c r="AK48" s="136">
        <f>IF($AD$9=1,CTheOptionFormula($Y$14,BS!$P$6,IF($AB$9=1,$T48,BS!$C$8),IF($AB$9=2,$T48,BS!$C$9),AK$39/$AA$5,BS!$P$17,BS!$P$18,BS!$C$13)*$Y$30,"")</f>
        <v>7.6196732544799965E-3</v>
      </c>
      <c r="AL48" s="136">
        <f>IF($AD$9=1,CTheOptionFormula($Y$14,BS!$P$6,IF($AB$9=1,$T48,BS!$C$8),IF($AB$9=2,$T48,BS!$C$9),AL$39/$AA$5,BS!$P$17,BS!$P$18,BS!$C$13)*$Y$30,"")</f>
        <v>7.9507553580782323E-3</v>
      </c>
      <c r="AM48" s="136">
        <f>IF($AD$9=1,CTheOptionFormula($Y$14,BS!$P$6,IF($AB$9=1,$T48,BS!$C$8),IF($AB$9=2,$T48,BS!$C$9),AM$39/$AA$5,BS!$P$17,BS!$P$18,BS!$C$13)*$Y$30,"")</f>
        <v>8.2620637978153069E-3</v>
      </c>
      <c r="AN48" s="136">
        <f>IF($AD$9=1,CTheOptionFormula($Y$14,BS!$P$6,IF($AB$9=1,$T48,BS!$C$8),IF($AB$9=2,$T48,BS!$C$9),AN$39/$AA$5,BS!$P$17,BS!$P$18,BS!$C$13)*$Y$30,"")</f>
        <v>8.5554650913685845E-3</v>
      </c>
      <c r="AO48" s="137">
        <f>IF($AD$9=1,CTheOptionFormula($Y$14,BS!$P$6,IF($AB$9=1,$T48,BS!$C$8),IF($AB$9=2,$T48,BS!$C$9),AO$39/$AA$5,BS!$P$17,BS!$P$18,BS!$C$13)*$Y$30,"")</f>
        <v>8.832550313132681E-3</v>
      </c>
      <c r="AQ48" s="133">
        <f t="shared" si="3"/>
        <v>3.5999999999999943</v>
      </c>
      <c r="AR48" s="138">
        <f>IF($AA$9=1,CTheOptionFormula($Y$14,BS!$P$6,IF($AB$9=1,$AQ48,BS!$C$8),IF($AB$9=2,$AQ48,BS!$C$9),$L$13/$AA$5,BS!$P$17,BS!$P$18,BS!$C$13)*$Y$30,"")</f>
        <v>-9.9821501063629553E-3</v>
      </c>
    </row>
    <row r="49" spans="2:44" ht="13.5" thickBot="1">
      <c r="C49" s="81" t="s">
        <v>237</v>
      </c>
      <c r="D49" s="84"/>
      <c r="E49" s="139"/>
      <c r="F49" s="140" t="s">
        <v>238</v>
      </c>
      <c r="G49" s="141">
        <v>180</v>
      </c>
      <c r="T49" s="129">
        <f t="shared" si="2"/>
        <v>4.0374999999999961</v>
      </c>
      <c r="U49" s="135">
        <f>IF($AD$9=1,CTheOptionFormula($Y$14,BS!$P$6,IF($AB$9=1,$T49,BS!$C$8),IF($AB$9=2,$T49,BS!$C$9),U$39/$AA$5,BS!$P$17,BS!$P$18,BS!$C$13)*$Y$30,"")</f>
        <v>1.3653991961173338E-2</v>
      </c>
      <c r="V49" s="136">
        <f>IF($AD$9=1,CTheOptionFormula($Y$14,BS!$P$6,IF($AB$9=1,$T49,BS!$C$8),IF($AB$9=2,$T49,BS!$C$9),V$39/$AA$5,BS!$P$17,BS!$P$18,BS!$C$13)*$Y$30,"")</f>
        <v>9.1073401767258807E-3</v>
      </c>
      <c r="W49" s="136">
        <f>IF($AD$9=1,CTheOptionFormula($Y$14,BS!$P$6,IF($AB$9=1,$T49,BS!$C$8),IF($AB$9=2,$T49,BS!$C$9),W$39/$AA$5,BS!$P$17,BS!$P$18,BS!$C$13)*$Y$30,"")</f>
        <v>8.3900688330183874E-3</v>
      </c>
      <c r="X49" s="136">
        <f>IF($AD$9=1,CTheOptionFormula($Y$14,BS!$P$6,IF($AB$9=1,$T49,BS!$C$8),IF($AB$9=2,$T49,BS!$C$9),X$39/$AA$5,BS!$P$17,BS!$P$18,BS!$C$13)*$Y$30,"")</f>
        <v>8.2982050666346539E-3</v>
      </c>
      <c r="Y49" s="136">
        <f>IF($AD$9=1,CTheOptionFormula($Y$14,BS!$P$6,IF($AB$9=1,$T49,BS!$C$8),IF($AB$9=2,$T49,BS!$C$9),Y$39/$AA$5,BS!$P$17,BS!$P$18,BS!$C$13)*$Y$30,"")</f>
        <v>8.3938926142396106E-3</v>
      </c>
      <c r="Z49" s="136">
        <f>IF($AD$9=1,CTheOptionFormula($Y$14,BS!$P$6,IF($AB$9=1,$T49,BS!$C$8),IF($AB$9=2,$T49,BS!$C$9),Z$39/$AA$5,BS!$P$17,BS!$P$18,BS!$C$13)*$Y$30,"")</f>
        <v>8.5620057935596357E-3</v>
      </c>
      <c r="AA49" s="136">
        <f>IF($AD$9=1,CTheOptionFormula($Y$14,BS!$P$6,IF($AB$9=1,$T49,BS!$C$8),IF($AB$9=2,$T49,BS!$C$9),AA$39/$AA$5,BS!$P$17,BS!$P$18,BS!$C$13)*$Y$30,"")</f>
        <v>8.7600880927592543E-3</v>
      </c>
      <c r="AB49" s="136">
        <f>IF($AD$9=1,CTheOptionFormula($Y$14,BS!$P$6,IF($AB$9=1,$T49,BS!$C$8),IF($AB$9=2,$T49,BS!$C$9),AB$39/$AA$5,BS!$P$17,BS!$P$18,BS!$C$13)*$Y$30,"")</f>
        <v>8.969485051322279E-3</v>
      </c>
      <c r="AC49" s="136">
        <f>IF($AD$9=1,CTheOptionFormula($Y$14,BS!$P$6,IF($AB$9=1,$T49,BS!$C$8),IF($AB$9=2,$T49,BS!$C$9),AC$39/$AA$5,BS!$P$17,BS!$P$18,BS!$C$13)*$Y$30,"")</f>
        <v>9.1811169316137701E-3</v>
      </c>
      <c r="AD49" s="136">
        <f>IF($AD$9=1,CTheOptionFormula($Y$14,BS!$P$6,IF($AB$9=1,$T49,BS!$C$8),IF($AB$9=2,$T49,BS!$C$9),AD$39/$AA$5,BS!$P$17,BS!$P$18,BS!$C$13)*$Y$30,"")</f>
        <v>9.3902938110120467E-3</v>
      </c>
      <c r="AE49" s="136">
        <f>IF($AD$9=1,CTheOptionFormula($Y$14,BS!$P$6,IF($AB$9=1,$T49,BS!$C$8),IF($AB$9=2,$T49,BS!$C$9),AE$39/$AA$5,BS!$P$17,BS!$P$18,BS!$C$13)*$Y$30,"")</f>
        <v>9.5945271704963482E-3</v>
      </c>
      <c r="AF49" s="136">
        <f>IF($AD$9=1,CTheOptionFormula($Y$14,BS!$P$6,IF($AB$9=1,$T49,BS!$C$8),IF($AB$9=2,$T49,BS!$C$9),AF$39/$AA$5,BS!$P$17,BS!$P$18,BS!$C$13)*$Y$30,"")</f>
        <v>9.7925050340693133E-3</v>
      </c>
      <c r="AG49" s="136">
        <f>IF($AD$9=1,CTheOptionFormula($Y$14,BS!$P$6,IF($AB$9=1,$T49,BS!$C$8),IF($AB$9=2,$T49,BS!$C$9),AG$39/$AA$5,BS!$P$17,BS!$P$18,BS!$C$13)*$Y$30,"")</f>
        <v>9.9835734767104462E-3</v>
      </c>
      <c r="AH49" s="136">
        <f>IF($AD$9=1,CTheOptionFormula($Y$14,BS!$P$6,IF($AB$9=1,$T49,BS!$C$8),IF($AB$9=2,$T49,BS!$C$9),AH$39/$AA$5,BS!$P$17,BS!$P$18,BS!$C$13)*$Y$30,"")</f>
        <v>1.0167458329553236E-2</v>
      </c>
      <c r="AI49" s="136">
        <f>IF($AD$9=1,CTheOptionFormula($Y$14,BS!$P$6,IF($AB$9=1,$T49,BS!$C$8),IF($AB$9=2,$T49,BS!$C$9),AI$39/$AA$5,BS!$P$17,BS!$P$18,BS!$C$13)*$Y$30,"")</f>
        <v>1.0344108761987133E-2</v>
      </c>
      <c r="AJ49" s="136">
        <f>IF($AD$9=1,CTheOptionFormula($Y$14,BS!$P$6,IF($AB$9=1,$T49,BS!$C$8),IF($AB$9=2,$T49,BS!$C$9),AJ$39/$AA$5,BS!$P$17,BS!$P$18,BS!$C$13)*$Y$30,"")</f>
        <v>1.0513606130303547E-2</v>
      </c>
      <c r="AK49" s="136">
        <f>IF($AD$9=1,CTheOptionFormula($Y$14,BS!$P$6,IF($AB$9=1,$T49,BS!$C$8),IF($AB$9=2,$T49,BS!$C$9),AK$39/$AA$5,BS!$P$17,BS!$P$18,BS!$C$13)*$Y$30,"")</f>
        <v>1.0676109345111186E-2</v>
      </c>
      <c r="AL49" s="136">
        <f>IF($AD$9=1,CTheOptionFormula($Y$14,BS!$P$6,IF($AB$9=1,$T49,BS!$C$8),IF($AB$9=2,$T49,BS!$C$9),AL$39/$AA$5,BS!$P$17,BS!$P$18,BS!$C$13)*$Y$30,"")</f>
        <v>1.0831821423242117E-2</v>
      </c>
      <c r="AM49" s="136">
        <f>IF($AD$9=1,CTheOptionFormula($Y$14,BS!$P$6,IF($AB$9=1,$T49,BS!$C$8),IF($AB$9=2,$T49,BS!$C$9),AM$39/$AA$5,BS!$P$17,BS!$P$18,BS!$C$13)*$Y$30,"")</f>
        <v>1.098096870113547E-2</v>
      </c>
      <c r="AN49" s="136">
        <f>IF($AD$9=1,CTheOptionFormula($Y$14,BS!$P$6,IF($AB$9=1,$T49,BS!$C$8),IF($AB$9=2,$T49,BS!$C$9),AN$39/$AA$5,BS!$P$17,BS!$P$18,BS!$C$13)*$Y$30,"")</f>
        <v>1.1123787804702292E-2</v>
      </c>
      <c r="AO49" s="137">
        <f>IF($AD$9=1,CTheOptionFormula($Y$14,BS!$P$6,IF($AB$9=1,$T49,BS!$C$8),IF($AB$9=2,$T49,BS!$C$9),AO$39/$AA$5,BS!$P$17,BS!$P$18,BS!$C$13)*$Y$30,"")</f>
        <v>1.1260517467869213E-2</v>
      </c>
      <c r="AQ49" s="133">
        <f t="shared" si="3"/>
        <v>3.6437499999999945</v>
      </c>
      <c r="AR49" s="138">
        <f>IF($AA$9=1,CTheOptionFormula($Y$14,BS!$P$6,IF($AB$9=1,$AQ49,BS!$C$8),IF($AB$9=2,$AQ49,BS!$C$9),$L$13/$AA$5,BS!$P$17,BS!$P$18,BS!$C$13)*$Y$30,"")</f>
        <v>-1.2266305677210558E-2</v>
      </c>
    </row>
    <row r="50" spans="2:44">
      <c r="C50" s="142" t="s">
        <v>165</v>
      </c>
      <c r="D50" s="143">
        <v>0.1</v>
      </c>
      <c r="T50" s="129">
        <f t="shared" si="2"/>
        <v>4.1249999999999964</v>
      </c>
      <c r="U50" s="135">
        <f>IF($AD$9=1,CTheOptionFormula($Y$14,BS!$P$6,IF($AB$9=1,$T50,BS!$C$8),IF($AB$9=2,$T50,BS!$C$9),U$39/$AA$5,BS!$P$17,BS!$P$18,BS!$C$13)*$Y$30,"")</f>
        <v>2.33468679043932E-4</v>
      </c>
      <c r="V50" s="136">
        <f>IF($AD$9=1,CTheOptionFormula($Y$14,BS!$P$6,IF($AB$9=1,$T50,BS!$C$8),IF($AB$9=2,$T50,BS!$C$9),V$39/$AA$5,BS!$P$17,BS!$P$18,BS!$C$13)*$Y$30,"")</f>
        <v>1.2969487565470318E-2</v>
      </c>
      <c r="W50" s="136">
        <f>IF($AD$9=1,CTheOptionFormula($Y$14,BS!$P$6,IF($AB$9=1,$T50,BS!$C$8),IF($AB$9=2,$T50,BS!$C$9),W$39/$AA$5,BS!$P$17,BS!$P$18,BS!$C$13)*$Y$30,"")</f>
        <v>1.3359214562650516E-2</v>
      </c>
      <c r="X50" s="136">
        <f>IF($AD$9=1,CTheOptionFormula($Y$14,BS!$P$6,IF($AB$9=1,$T50,BS!$C$8),IF($AB$9=2,$T50,BS!$C$9),X$39/$AA$5,BS!$P$17,BS!$P$18,BS!$C$13)*$Y$30,"")</f>
        <v>1.3052045475097876E-2</v>
      </c>
      <c r="Y50" s="136">
        <f>IF($AD$9=1,CTheOptionFormula($Y$14,BS!$P$6,IF($AB$9=1,$T50,BS!$C$8),IF($AB$9=2,$T50,BS!$C$9),Y$39/$AA$5,BS!$P$17,BS!$P$18,BS!$C$13)*$Y$30,"")</f>
        <v>1.2773642342026706E-2</v>
      </c>
      <c r="Z50" s="136">
        <f>IF($AD$9=1,CTheOptionFormula($Y$14,BS!$P$6,IF($AB$9=1,$T50,BS!$C$8),IF($AB$9=2,$T50,BS!$C$9),Z$39/$AA$5,BS!$P$17,BS!$P$18,BS!$C$13)*$Y$30,"")</f>
        <v>1.2575554744226548E-2</v>
      </c>
      <c r="AA50" s="136">
        <f>IF($AD$9=1,CTheOptionFormula($Y$14,BS!$P$6,IF($AB$9=1,$T50,BS!$C$8),IF($AB$9=2,$T50,BS!$C$9),AA$39/$AA$5,BS!$P$17,BS!$P$18,BS!$C$13)*$Y$30,"")</f>
        <v>1.2443988553603277E-2</v>
      </c>
      <c r="AB50" s="136">
        <f>IF($AD$9=1,CTheOptionFormula($Y$14,BS!$P$6,IF($AB$9=1,$T50,BS!$C$8),IF($AB$9=2,$T50,BS!$C$9),AB$39/$AA$5,BS!$P$17,BS!$P$18,BS!$C$13)*$Y$30,"")</f>
        <v>1.236158389994383E-2</v>
      </c>
      <c r="AC50" s="136">
        <f>IF($AD$9=1,CTheOptionFormula($Y$14,BS!$P$6,IF($AB$9=1,$T50,BS!$C$8),IF($AB$9=2,$T50,BS!$C$9),AC$39/$AA$5,BS!$P$17,BS!$P$18,BS!$C$13)*$Y$30,"")</f>
        <v>1.2314825258667174E-2</v>
      </c>
      <c r="AD50" s="136">
        <f>IF($AD$9=1,CTheOptionFormula($Y$14,BS!$P$6,IF($AB$9=1,$T50,BS!$C$8),IF($AB$9=2,$T50,BS!$C$9),AD$39/$AA$5,BS!$P$17,BS!$P$18,BS!$C$13)*$Y$30,"")</f>
        <v>1.2293946775378104E-2</v>
      </c>
      <c r="AE50" s="136">
        <f>IF($AD$9=1,CTheOptionFormula($Y$14,BS!$P$6,IF($AB$9=1,$T50,BS!$C$8),IF($AB$9=2,$T50,BS!$C$9),AE$39/$AA$5,BS!$P$17,BS!$P$18,BS!$C$13)*$Y$30,"")</f>
        <v>1.2291956321883133E-2</v>
      </c>
      <c r="AF50" s="136">
        <f>IF($AD$9=1,CTheOptionFormula($Y$14,BS!$P$6,IF($AB$9=1,$T50,BS!$C$8),IF($AB$9=2,$T50,BS!$C$9),AF$39/$AA$5,BS!$P$17,BS!$P$18,BS!$C$13)*$Y$30,"")</f>
        <v>1.2303806297321923E-2</v>
      </c>
      <c r="AG50" s="136">
        <f>IF($AD$9=1,CTheOptionFormula($Y$14,BS!$P$6,IF($AB$9=1,$T50,BS!$C$8),IF($AB$9=2,$T50,BS!$C$9),AG$39/$AA$5,BS!$P$17,BS!$P$18,BS!$C$13)*$Y$30,"")</f>
        <v>1.2325805064863669E-2</v>
      </c>
      <c r="AH50" s="136">
        <f>IF($AD$9=1,CTheOptionFormula($Y$14,BS!$P$6,IF($AB$9=1,$T50,BS!$C$8),IF($AB$9=2,$T50,BS!$C$9),AH$39/$AA$5,BS!$P$17,BS!$P$18,BS!$C$13)*$Y$30,"")</f>
        <v>1.2355215472304996E-2</v>
      </c>
      <c r="AI50" s="136">
        <f>IF($AD$9=1,CTheOptionFormula($Y$14,BS!$P$6,IF($AB$9=1,$T50,BS!$C$8),IF($AB$9=2,$T50,BS!$C$9),AI$39/$AA$5,BS!$P$17,BS!$P$18,BS!$C$13)*$Y$30,"")</f>
        <v>1.2389981770727249E-2</v>
      </c>
      <c r="AJ50" s="136">
        <f>IF($AD$9=1,CTheOptionFormula($Y$14,BS!$P$6,IF($AB$9=1,$T50,BS!$C$8),IF($AB$9=2,$T50,BS!$C$9),AJ$39/$AA$5,BS!$P$17,BS!$P$18,BS!$C$13)*$Y$30,"")</f>
        <v>1.2428542071042915E-2</v>
      </c>
      <c r="AK50" s="136">
        <f>IF($AD$9=1,CTheOptionFormula($Y$14,BS!$P$6,IF($AB$9=1,$T50,BS!$C$8),IF($AB$9=2,$T50,BS!$C$9),AK$39/$AA$5,BS!$P$17,BS!$P$18,BS!$C$13)*$Y$30,"")</f>
        <v>1.2469697730554121E-2</v>
      </c>
      <c r="AL50" s="136">
        <f>IF($AD$9=1,CTheOptionFormula($Y$14,BS!$P$6,IF($AB$9=1,$T50,BS!$C$8),IF($AB$9=2,$T50,BS!$C$9),AL$39/$AA$5,BS!$P$17,BS!$P$18,BS!$C$13)*$Y$30,"")</f>
        <v>1.2512520996162835E-2</v>
      </c>
      <c r="AM50" s="136">
        <f>IF($AD$9=1,CTheOptionFormula($Y$14,BS!$P$6,IF($AB$9=1,$T50,BS!$C$8),IF($AB$9=2,$T50,BS!$C$9),AM$39/$AA$5,BS!$P$17,BS!$P$18,BS!$C$13)*$Y$30,"")</f>
        <v>1.2556288708621924E-2</v>
      </c>
      <c r="AN50" s="136">
        <f>IF($AD$9=1,CTheOptionFormula($Y$14,BS!$P$6,IF($AB$9=1,$T50,BS!$C$8),IF($AB$9=2,$T50,BS!$C$9),AN$39/$AA$5,BS!$P$17,BS!$P$18,BS!$C$13)*$Y$30,"")</f>
        <v>1.2600434026173448E-2</v>
      </c>
      <c r="AO50" s="137">
        <f>IF($AD$9=1,CTheOptionFormula($Y$14,BS!$P$6,IF($AB$9=1,$T50,BS!$C$8),IF($AB$9=2,$T50,BS!$C$9),AO$39/$AA$5,BS!$P$17,BS!$P$18,BS!$C$13)*$Y$30,"")</f>
        <v>1.264451079451677E-2</v>
      </c>
      <c r="AQ50" s="133">
        <f t="shared" si="3"/>
        <v>3.6874999999999947</v>
      </c>
      <c r="AR50" s="138">
        <f>IF($AA$9=1,CTheOptionFormula($Y$14,BS!$P$6,IF($AB$9=1,$AQ50,BS!$C$8),IF($AB$9=2,$AQ50,BS!$C$9),$L$13/$AA$5,BS!$P$17,BS!$P$18,BS!$C$13)*$Y$30,"")</f>
        <v>-1.4006298491089052E-2</v>
      </c>
    </row>
    <row r="51" spans="2:44" ht="13.5" thickBot="1">
      <c r="C51" s="101" t="s">
        <v>172</v>
      </c>
      <c r="D51" s="144">
        <v>0.3</v>
      </c>
      <c r="T51" s="129">
        <f t="shared" si="2"/>
        <v>4.2124999999999968</v>
      </c>
      <c r="U51" s="135">
        <f>IF($AD$9=1,CTheOptionFormula($Y$14,BS!$P$6,IF($AB$9=1,$T51,BS!$C$8),IF($AB$9=2,$T51,BS!$C$9),U$39/$AA$5,BS!$P$17,BS!$P$18,BS!$C$13)*$Y$30,"")</f>
        <v>1.1503367450892272E-8</v>
      </c>
      <c r="V51" s="136">
        <f>IF($AD$9=1,CTheOptionFormula($Y$14,BS!$P$6,IF($AB$9=1,$T51,BS!$C$8),IF($AB$9=2,$T51,BS!$C$9),V$39/$AA$5,BS!$P$17,BS!$P$18,BS!$C$13)*$Y$30,"")</f>
        <v>6.6361888313953019E-3</v>
      </c>
      <c r="W51" s="136">
        <f>IF($AD$9=1,CTheOptionFormula($Y$14,BS!$P$6,IF($AB$9=1,$T51,BS!$C$8),IF($AB$9=2,$T51,BS!$C$9),W$39/$AA$5,BS!$P$17,BS!$P$18,BS!$C$13)*$Y$30,"")</f>
        <v>1.0812955533373027E-2</v>
      </c>
      <c r="X51" s="136">
        <f>IF($AD$9=1,CTheOptionFormula($Y$14,BS!$P$6,IF($AB$9=1,$T51,BS!$C$8),IF($AB$9=2,$T51,BS!$C$9),X$39/$AA$5,BS!$P$17,BS!$P$18,BS!$C$13)*$Y$30,"")</f>
        <v>1.2238073679837839E-2</v>
      </c>
      <c r="Y51" s="136">
        <f>IF($AD$9=1,CTheOptionFormula($Y$14,BS!$P$6,IF($AB$9=1,$T51,BS!$C$8),IF($AB$9=2,$T51,BS!$C$9),Y$39/$AA$5,BS!$P$17,BS!$P$18,BS!$C$13)*$Y$30,"")</f>
        <v>1.2783369181505418E-2</v>
      </c>
      <c r="Z51" s="136">
        <f>IF($AD$9=1,CTheOptionFormula($Y$14,BS!$P$6,IF($AB$9=1,$T51,BS!$C$8),IF($AB$9=2,$T51,BS!$C$9),Z$39/$AA$5,BS!$P$17,BS!$P$18,BS!$C$13)*$Y$30,"")</f>
        <v>1.3004066605489089E-2</v>
      </c>
      <c r="AA51" s="136">
        <f>IF($AD$9=1,CTheOptionFormula($Y$14,BS!$P$6,IF($AB$9=1,$T51,BS!$C$8),IF($AB$9=2,$T51,BS!$C$9),AA$39/$AA$5,BS!$P$17,BS!$P$18,BS!$C$13)*$Y$30,"")</f>
        <v>1.3091023465982675E-2</v>
      </c>
      <c r="AB51" s="136">
        <f>IF($AD$9=1,CTheOptionFormula($Y$14,BS!$P$6,IF($AB$9=1,$T51,BS!$C$8),IF($AB$9=2,$T51,BS!$C$9),AB$39/$AA$5,BS!$P$17,BS!$P$18,BS!$C$13)*$Y$30,"")</f>
        <v>1.3119557394025427E-2</v>
      </c>
      <c r="AC51" s="136">
        <f>IF($AD$9=1,CTheOptionFormula($Y$14,BS!$P$6,IF($AB$9=1,$T51,BS!$C$8),IF($AB$9=2,$T51,BS!$C$9),AC$39/$AA$5,BS!$P$17,BS!$P$18,BS!$C$13)*$Y$30,"")</f>
        <v>1.3122353022923233E-2</v>
      </c>
      <c r="AD51" s="136">
        <f>IF($AD$9=1,CTheOptionFormula($Y$14,BS!$P$6,IF($AB$9=1,$T51,BS!$C$8),IF($AB$9=2,$T51,BS!$C$9),AD$39/$AA$5,BS!$P$17,BS!$P$18,BS!$C$13)*$Y$30,"")</f>
        <v>1.31144799225238E-2</v>
      </c>
      <c r="AE51" s="136">
        <f>IF($AD$9=1,CTheOptionFormula($Y$14,BS!$P$6,IF($AB$9=1,$T51,BS!$C$8),IF($AB$9=2,$T51,BS!$C$9),AE$39/$AA$5,BS!$P$17,BS!$P$18,BS!$C$13)*$Y$30,"")</f>
        <v>1.3103105734217848E-2</v>
      </c>
      <c r="AF51" s="136">
        <f>IF($AD$9=1,CTheOptionFormula($Y$14,BS!$P$6,IF($AB$9=1,$T51,BS!$C$8),IF($AB$9=2,$T51,BS!$C$9),AF$39/$AA$5,BS!$P$17,BS!$P$18,BS!$C$13)*$Y$30,"")</f>
        <v>1.3091638319700878E-2</v>
      </c>
      <c r="AG51" s="136">
        <f>IF($AD$9=1,CTheOptionFormula($Y$14,BS!$P$6,IF($AB$9=1,$T51,BS!$C$8),IF($AB$9=2,$T51,BS!$C$9),AG$39/$AA$5,BS!$P$17,BS!$P$18,BS!$C$13)*$Y$30,"")</f>
        <v>1.3081623570025432E-2</v>
      </c>
      <c r="AH51" s="136">
        <f>IF($AD$9=1,CTheOptionFormula($Y$14,BS!$P$6,IF($AB$9=1,$T51,BS!$C$8),IF($AB$9=2,$T51,BS!$C$9),AH$39/$AA$5,BS!$P$17,BS!$P$18,BS!$C$13)*$Y$30,"")</f>
        <v>1.3073664050348356E-2</v>
      </c>
      <c r="AI51" s="136">
        <f>IF($AD$9=1,CTheOptionFormula($Y$14,BS!$P$6,IF($AB$9=1,$T51,BS!$C$8),IF($AB$9=2,$T51,BS!$C$9),AI$39/$AA$5,BS!$P$17,BS!$P$18,BS!$C$13)*$Y$30,"")</f>
        <v>1.3067882525801941E-2</v>
      </c>
      <c r="AJ51" s="136">
        <f>IF($AD$9=1,CTheOptionFormula($Y$14,BS!$P$6,IF($AB$9=1,$T51,BS!$C$8),IF($AB$9=2,$T51,BS!$C$9),AJ$39/$AA$5,BS!$P$17,BS!$P$18,BS!$C$13)*$Y$30,"")</f>
        <v>1.3064162954885397E-2</v>
      </c>
      <c r="AK51" s="136">
        <f>IF($AD$9=1,CTheOptionFormula($Y$14,BS!$P$6,IF($AB$9=1,$T51,BS!$C$8),IF($AB$9=2,$T51,BS!$C$9),AK$39/$AA$5,BS!$P$17,BS!$P$18,BS!$C$13)*$Y$30,"")</f>
        <v>1.3062278182572495E-2</v>
      </c>
      <c r="AL51" s="136">
        <f>IF($AD$9=1,CTheOptionFormula($Y$14,BS!$P$6,IF($AB$9=1,$T51,BS!$C$8),IF($AB$9=2,$T51,BS!$C$9),AL$39/$AA$5,BS!$P$17,BS!$P$18,BS!$C$13)*$Y$30,"")</f>
        <v>1.3061958081524976E-2</v>
      </c>
      <c r="AM51" s="136">
        <f>IF($AD$9=1,CTheOptionFormula($Y$14,BS!$P$6,IF($AB$9=1,$T51,BS!$C$8),IF($AB$9=2,$T51,BS!$C$9),AM$39/$AA$5,BS!$P$17,BS!$P$18,BS!$C$13)*$Y$30,"")</f>
        <v>1.3062925628295568E-2</v>
      </c>
      <c r="AN51" s="136">
        <f>IF($AD$9=1,CTheOptionFormula($Y$14,BS!$P$6,IF($AB$9=1,$T51,BS!$C$8),IF($AB$9=2,$T51,BS!$C$9),AN$39/$AA$5,BS!$P$17,BS!$P$18,BS!$C$13)*$Y$30,"")</f>
        <v>1.30649154249308E-2</v>
      </c>
      <c r="AO51" s="137">
        <f>IF($AD$9=1,CTheOptionFormula($Y$14,BS!$P$6,IF($AB$9=1,$T51,BS!$C$8),IF($AB$9=2,$T51,BS!$C$9),AO$39/$AA$5,BS!$P$17,BS!$P$18,BS!$C$13)*$Y$30,"")</f>
        <v>1.3067682526305319E-2</v>
      </c>
      <c r="AQ51" s="133">
        <f t="shared" si="3"/>
        <v>3.7312499999999948</v>
      </c>
      <c r="AR51" s="138">
        <f>IF($AA$9=1,CTheOptionFormula($Y$14,BS!$P$6,IF($AB$9=1,$AQ51,BS!$C$8),IF($AB$9=2,$AQ51,BS!$C$9),$L$13/$AA$5,BS!$P$17,BS!$P$18,BS!$C$13)*$Y$30,"")</f>
        <v>-1.4776901023746996E-2</v>
      </c>
    </row>
    <row r="52" spans="2:44">
      <c r="B52" s="33"/>
      <c r="C52" s="33"/>
      <c r="T52" s="129">
        <f t="shared" si="2"/>
        <v>4.2999999999999972</v>
      </c>
      <c r="U52" s="135">
        <f>IF($AD$9=1,CTheOptionFormula($Y$14,BS!$P$6,IF($AB$9=1,$T52,BS!$C$8),IF($AB$9=2,$T52,BS!$C$9),U$39/$AA$5,BS!$P$17,BS!$P$18,BS!$C$13)*$Y$30,"")</f>
        <v>3.6012715102027065E-15</v>
      </c>
      <c r="V52" s="136">
        <f>IF($AD$9=1,CTheOptionFormula($Y$14,BS!$P$6,IF($AB$9=1,$T52,BS!$C$8),IF($AB$9=2,$T52,BS!$C$9),V$39/$AA$5,BS!$P$17,BS!$P$18,BS!$C$13)*$Y$30,"")</f>
        <v>1.7739655404033126E-3</v>
      </c>
      <c r="W52" s="136">
        <f>IF($AD$9=1,CTheOptionFormula($Y$14,BS!$P$6,IF($AB$9=1,$T52,BS!$C$8),IF($AB$9=2,$T52,BS!$C$9),W$39/$AA$5,BS!$P$17,BS!$P$18,BS!$C$13)*$Y$30,"")</f>
        <v>5.87123949995656E-3</v>
      </c>
      <c r="X52" s="136">
        <f>IF($AD$9=1,CTheOptionFormula($Y$14,BS!$P$6,IF($AB$9=1,$T52,BS!$C$8),IF($AB$9=2,$T52,BS!$C$9),X$39/$AA$5,BS!$P$17,BS!$P$18,BS!$C$13)*$Y$30,"")</f>
        <v>8.4896505812802371E-3</v>
      </c>
      <c r="Y52" s="136">
        <f>IF($AD$9=1,CTheOptionFormula($Y$14,BS!$P$6,IF($AB$9=1,$T52,BS!$C$8),IF($AB$9=2,$T52,BS!$C$9),Y$39/$AA$5,BS!$P$17,BS!$P$18,BS!$C$13)*$Y$30,"")</f>
        <v>1.0002686560915042E-2</v>
      </c>
      <c r="Z52" s="136">
        <f>IF($AD$9=1,CTheOptionFormula($Y$14,BS!$P$6,IF($AB$9=1,$T52,BS!$C$8),IF($AB$9=2,$T52,BS!$C$9),Z$39/$AA$5,BS!$P$17,BS!$P$18,BS!$C$13)*$Y$30,"")</f>
        <v>1.0907643606302425E-2</v>
      </c>
      <c r="AA52" s="136">
        <f>IF($AD$9=1,CTheOptionFormula($Y$14,BS!$P$6,IF($AB$9=1,$T52,BS!$C$8),IF($AB$9=2,$T52,BS!$C$9),AA$39/$AA$5,BS!$P$17,BS!$P$18,BS!$C$13)*$Y$30,"")</f>
        <v>1.1473900174468754E-2</v>
      </c>
      <c r="AB52" s="136">
        <f>IF($AD$9=1,CTheOptionFormula($Y$14,BS!$P$6,IF($AB$9=1,$T52,BS!$C$8),IF($AB$9=2,$T52,BS!$C$9),AB$39/$AA$5,BS!$P$17,BS!$P$18,BS!$C$13)*$Y$30,"")</f>
        <v>1.1842612531357488E-2</v>
      </c>
      <c r="AC52" s="136">
        <f>IF($AD$9=1,CTheOptionFormula($Y$14,BS!$P$6,IF($AB$9=1,$T52,BS!$C$8),IF($AB$9=2,$T52,BS!$C$9),AC$39/$AA$5,BS!$P$17,BS!$P$18,BS!$C$13)*$Y$30,"")</f>
        <v>1.2090759957057303E-2</v>
      </c>
      <c r="AD52" s="136">
        <f>IF($AD$9=1,CTheOptionFormula($Y$14,BS!$P$6,IF($AB$9=1,$T52,BS!$C$8),IF($AB$9=2,$T52,BS!$C$9),AD$39/$AA$5,BS!$P$17,BS!$P$18,BS!$C$13)*$Y$30,"")</f>
        <v>1.2262360942587702E-2</v>
      </c>
      <c r="AE52" s="136">
        <f>IF($AD$9=1,CTheOptionFormula($Y$14,BS!$P$6,IF($AB$9=1,$T52,BS!$C$8),IF($AB$9=2,$T52,BS!$C$9),AE$39/$AA$5,BS!$P$17,BS!$P$18,BS!$C$13)*$Y$30,"")</f>
        <v>1.2383701034982663E-2</v>
      </c>
      <c r="AF52" s="136">
        <f>IF($AD$9=1,CTheOptionFormula($Y$14,BS!$P$6,IF($AB$9=1,$T52,BS!$C$8),IF($AB$9=2,$T52,BS!$C$9),AF$39/$AA$5,BS!$P$17,BS!$P$18,BS!$C$13)*$Y$30,"")</f>
        <v>1.2471075637126927E-2</v>
      </c>
      <c r="AG52" s="136">
        <f>IF($AD$9=1,CTheOptionFormula($Y$14,BS!$P$6,IF($AB$9=1,$T52,BS!$C$8),IF($AB$9=2,$T52,BS!$C$9),AG$39/$AA$5,BS!$P$17,BS!$P$18,BS!$C$13)*$Y$30,"")</f>
        <v>1.2534914660603897E-2</v>
      </c>
      <c r="AH52" s="136">
        <f>IF($AD$9=1,CTheOptionFormula($Y$14,BS!$P$6,IF($AB$9=1,$T52,BS!$C$8),IF($AB$9=2,$T52,BS!$C$9),AH$39/$AA$5,BS!$P$17,BS!$P$18,BS!$C$13)*$Y$30,"")</f>
        <v>1.2582077867364158E-2</v>
      </c>
      <c r="AI52" s="136">
        <f>IF($AD$9=1,CTheOptionFormula($Y$14,BS!$P$6,IF($AB$9=1,$T52,BS!$C$8),IF($AB$9=2,$T52,BS!$C$9),AI$39/$AA$5,BS!$P$17,BS!$P$18,BS!$C$13)*$Y$30,"")</f>
        <v>1.2617183073880727E-2</v>
      </c>
      <c r="AJ52" s="136">
        <f>IF($AD$9=1,CTheOptionFormula($Y$14,BS!$P$6,IF($AB$9=1,$T52,BS!$C$8),IF($AB$9=2,$T52,BS!$C$9),AJ$39/$AA$5,BS!$P$17,BS!$P$18,BS!$C$13)*$Y$30,"")</f>
        <v>1.2643401619358422E-2</v>
      </c>
      <c r="AK52" s="136">
        <f>IF($AD$9=1,CTheOptionFormula($Y$14,BS!$P$6,IF($AB$9=1,$T52,BS!$C$8),IF($AB$9=2,$T52,BS!$C$9),AK$39/$AA$5,BS!$P$17,BS!$P$18,BS!$C$13)*$Y$30,"")</f>
        <v>1.2662949391924267E-2</v>
      </c>
      <c r="AL52" s="136">
        <f>IF($AD$9=1,CTheOptionFormula($Y$14,BS!$P$6,IF($AB$9=1,$T52,BS!$C$8),IF($AB$9=2,$T52,BS!$C$9),AL$39/$AA$5,BS!$P$17,BS!$P$18,BS!$C$13)*$Y$30,"")</f>
        <v>1.2677398093981294E-2</v>
      </c>
      <c r="AM52" s="136">
        <f>IF($AD$9=1,CTheOptionFormula($Y$14,BS!$P$6,IF($AB$9=1,$T52,BS!$C$8),IF($AB$9=2,$T52,BS!$C$9),AM$39/$AA$5,BS!$P$17,BS!$P$18,BS!$C$13)*$Y$30,"")</f>
        <v>1.268787723844227E-2</v>
      </c>
      <c r="AN52" s="136">
        <f>IF($AD$9=1,CTheOptionFormula($Y$14,BS!$P$6,IF($AB$9=1,$T52,BS!$C$8),IF($AB$9=2,$T52,BS!$C$9),AN$39/$AA$5,BS!$P$17,BS!$P$18,BS!$C$13)*$Y$30,"")</f>
        <v>1.2695207985782607E-2</v>
      </c>
      <c r="AO52" s="137">
        <f>IF($AD$9=1,CTheOptionFormula($Y$14,BS!$P$6,IF($AB$9=1,$T52,BS!$C$8),IF($AB$9=2,$T52,BS!$C$9),AO$39/$AA$5,BS!$P$17,BS!$P$18,BS!$C$13)*$Y$30,"")</f>
        <v>1.2699993472819309E-2</v>
      </c>
      <c r="AQ52" s="133">
        <f t="shared" si="3"/>
        <v>3.774999999999995</v>
      </c>
      <c r="AR52" s="138">
        <f>IF($AA$9=1,CTheOptionFormula($Y$14,BS!$P$6,IF($AB$9=1,$AQ52,BS!$C$8),IF($AB$9=2,$AQ52,BS!$C$9),$L$13/$AA$5,BS!$P$17,BS!$P$18,BS!$C$13)*$Y$30,"")</f>
        <v>-1.4249382661111183E-2</v>
      </c>
    </row>
    <row r="53" spans="2:44">
      <c r="T53" s="129">
        <f t="shared" si="2"/>
        <v>4.3874999999999975</v>
      </c>
      <c r="U53" s="135">
        <f>IF($AD$9=1,CTheOptionFormula($Y$14,BS!$P$6,IF($AB$9=1,$T53,BS!$C$8),IF($AB$9=2,$T53,BS!$C$9),U$39/$AA$5,BS!$P$17,BS!$P$18,BS!$C$13)*$Y$30,"")</f>
        <v>1.0612253377795012E-23</v>
      </c>
      <c r="V53" s="136">
        <f>IF($AD$9=1,CTheOptionFormula($Y$14,BS!$P$6,IF($AB$9=1,$T53,BS!$C$8),IF($AB$9=2,$T53,BS!$C$9),V$39/$AA$5,BS!$P$17,BS!$P$18,BS!$C$13)*$Y$30,"")</f>
        <v>2.7669722745388018E-4</v>
      </c>
      <c r="W53" s="136">
        <f>IF($AD$9=1,CTheOptionFormula($Y$14,BS!$P$6,IF($AB$9=1,$T53,BS!$C$8),IF($AB$9=2,$T53,BS!$C$9),W$39/$AA$5,BS!$P$17,BS!$P$18,BS!$C$13)*$Y$30,"")</f>
        <v>2.3279786814080121E-3</v>
      </c>
      <c r="X53" s="136">
        <f>IF($AD$9=1,CTheOptionFormula($Y$14,BS!$P$6,IF($AB$9=1,$T53,BS!$C$8),IF($AB$9=2,$T53,BS!$C$9),X$39/$AA$5,BS!$P$17,BS!$P$18,BS!$C$13)*$Y$30,"")</f>
        <v>4.675109566285445E-3</v>
      </c>
      <c r="Y53" s="136">
        <f>IF($AD$9=1,CTheOptionFormula($Y$14,BS!$P$6,IF($AB$9=1,$T53,BS!$C$8),IF($AB$9=2,$T53,BS!$C$9),Y$39/$AA$5,BS!$P$17,BS!$P$18,BS!$C$13)*$Y$30,"")</f>
        <v>6.4990216077541255E-3</v>
      </c>
      <c r="Z53" s="136">
        <f>IF($AD$9=1,CTheOptionFormula($Y$14,BS!$P$6,IF($AB$9=1,$T53,BS!$C$8),IF($AB$9=2,$T53,BS!$C$9),Z$39/$AA$5,BS!$P$17,BS!$P$18,BS!$C$13)*$Y$30,"")</f>
        <v>7.8189102212654314E-3</v>
      </c>
      <c r="AA53" s="136">
        <f>IF($AD$9=1,CTheOptionFormula($Y$14,BS!$P$6,IF($AB$9=1,$T53,BS!$C$8),IF($AB$9=2,$T53,BS!$C$9),AA$39/$AA$5,BS!$P$17,BS!$P$18,BS!$C$13)*$Y$30,"")</f>
        <v>8.7710914774814276E-3</v>
      </c>
      <c r="AB53" s="136">
        <f>IF($AD$9=1,CTheOptionFormula($Y$14,BS!$P$6,IF($AB$9=1,$T53,BS!$C$8),IF($AB$9=2,$T53,BS!$C$9),AB$39/$AA$5,BS!$P$17,BS!$P$18,BS!$C$13)*$Y$30,"")</f>
        <v>9.4677716235127343E-3</v>
      </c>
      <c r="AC53" s="136">
        <f>IF($AD$9=1,CTheOptionFormula($Y$14,BS!$P$6,IF($AB$9=1,$T53,BS!$C$8),IF($AB$9=2,$T53,BS!$C$9),AC$39/$AA$5,BS!$P$17,BS!$P$18,BS!$C$13)*$Y$30,"")</f>
        <v>9.9867063906192641E-3</v>
      </c>
      <c r="AD53" s="136">
        <f>IF($AD$9=1,CTheOptionFormula($Y$14,BS!$P$6,IF($AB$9=1,$T53,BS!$C$8),IF($AB$9=2,$T53,BS!$C$9),AD$39/$AA$5,BS!$P$17,BS!$P$18,BS!$C$13)*$Y$30,"")</f>
        <v>1.0380092417182199E-2</v>
      </c>
      <c r="AE53" s="136">
        <f>IF($AD$9=1,CTheOptionFormula($Y$14,BS!$P$6,IF($AB$9=1,$T53,BS!$C$8),IF($AB$9=2,$T53,BS!$C$9),AE$39/$AA$5,BS!$P$17,BS!$P$18,BS!$C$13)*$Y$30,"")</f>
        <v>1.0683108505342955E-2</v>
      </c>
      <c r="AF53" s="136">
        <f>IF($AD$9=1,CTheOptionFormula($Y$14,BS!$P$6,IF($AB$9=1,$T53,BS!$C$8),IF($AB$9=2,$T53,BS!$C$9),AF$39/$AA$5,BS!$P$17,BS!$P$18,BS!$C$13)*$Y$30,"")</f>
        <v>1.0919823239686613E-2</v>
      </c>
      <c r="AG53" s="136">
        <f>IF($AD$9=1,CTheOptionFormula($Y$14,BS!$P$6,IF($AB$9=1,$T53,BS!$C$8),IF($AB$9=2,$T53,BS!$C$9),AG$39/$AA$5,BS!$P$17,BS!$P$18,BS!$C$13)*$Y$30,"")</f>
        <v>1.1107005640613343E-2</v>
      </c>
      <c r="AH53" s="136">
        <f>IF($AD$9=1,CTheOptionFormula($Y$14,BS!$P$6,IF($AB$9=1,$T53,BS!$C$8),IF($AB$9=2,$T53,BS!$C$9),AH$39/$AA$5,BS!$P$17,BS!$P$18,BS!$C$13)*$Y$30,"")</f>
        <v>1.1256555820454673E-2</v>
      </c>
      <c r="AI53" s="136">
        <f>IF($AD$9=1,CTheOptionFormula($Y$14,BS!$P$6,IF($AB$9=1,$T53,BS!$C$8),IF($AB$9=2,$T53,BS!$C$9),AI$39/$AA$5,BS!$P$17,BS!$P$18,BS!$C$13)*$Y$30,"")</f>
        <v>1.1377068008190654E-2</v>
      </c>
      <c r="AJ53" s="136">
        <f>IF($AD$9=1,CTheOptionFormula($Y$14,BS!$P$6,IF($AB$9=1,$T53,BS!$C$8),IF($AB$9=2,$T53,BS!$C$9),AJ$39/$AA$5,BS!$P$17,BS!$P$18,BS!$C$13)*$Y$30,"")</f>
        <v>1.1474850922278828E-2</v>
      </c>
      <c r="AK53" s="136">
        <f>IF($AD$9=1,CTheOptionFormula($Y$14,BS!$P$6,IF($AB$9=1,$T53,BS!$C$8),IF($AB$9=2,$T53,BS!$C$9),AK$39/$AA$5,BS!$P$17,BS!$P$18,BS!$C$13)*$Y$30,"")</f>
        <v>1.1554605552993138E-2</v>
      </c>
      <c r="AL53" s="136">
        <f>IF($AD$9=1,CTheOptionFormula($Y$14,BS!$P$6,IF($AB$9=1,$T53,BS!$C$8),IF($AB$9=2,$T53,BS!$C$9),AL$39/$AA$5,BS!$P$17,BS!$P$18,BS!$C$13)*$Y$30,"")</f>
        <v>1.1619883395803589E-2</v>
      </c>
      <c r="AM53" s="136">
        <f>IF($AD$9=1,CTheOptionFormula($Y$14,BS!$P$6,IF($AB$9=1,$T53,BS!$C$8),IF($AB$9=2,$T53,BS!$C$9),AM$39/$AA$5,BS!$P$17,BS!$P$18,BS!$C$13)*$Y$30,"")</f>
        <v>1.1673401589661856E-2</v>
      </c>
      <c r="AN53" s="136">
        <f>IF($AD$9=1,CTheOptionFormula($Y$14,BS!$P$6,IF($AB$9=1,$T53,BS!$C$8),IF($AB$9=2,$T53,BS!$C$9),AN$39/$AA$5,BS!$P$17,BS!$P$18,BS!$C$13)*$Y$30,"")</f>
        <v>1.1717263174330203E-2</v>
      </c>
      <c r="AO53" s="137">
        <f>IF($AD$9=1,CTheOptionFormula($Y$14,BS!$P$6,IF($AB$9=1,$T53,BS!$C$8),IF($AB$9=2,$T53,BS!$C$9),AO$39/$AA$5,BS!$P$17,BS!$P$18,BS!$C$13)*$Y$30,"")</f>
        <v>1.175311337542399E-2</v>
      </c>
      <c r="AQ53" s="133">
        <f t="shared" si="3"/>
        <v>3.8187499999999952</v>
      </c>
      <c r="AR53" s="138">
        <f>IF($AA$9=1,CTheOptionFormula($Y$14,BS!$P$6,IF($AB$9=1,$AQ53,BS!$C$8),IF($AB$9=2,$AQ53,BS!$C$9),$L$13/$AA$5,BS!$P$17,BS!$P$18,BS!$C$13)*$Y$30,"")</f>
        <v>-1.2287950751333508E-2</v>
      </c>
    </row>
    <row r="54" spans="2:44">
      <c r="T54" s="129">
        <f t="shared" si="2"/>
        <v>4.4749999999999979</v>
      </c>
      <c r="U54" s="135">
        <f>IF($AD$9=1,CTheOptionFormula($Y$14,BS!$P$6,IF($AB$9=1,$T54,BS!$C$8),IF($AB$9=2,$T54,BS!$C$9),U$39/$AA$5,BS!$P$17,BS!$P$18,BS!$C$13)*$Y$30,"")</f>
        <v>4.023161929576012E-34</v>
      </c>
      <c r="V54" s="136">
        <f>IF($AD$9=1,CTheOptionFormula($Y$14,BS!$P$6,IF($AB$9=1,$T54,BS!$C$8),IF($AB$9=2,$T54,BS!$C$9),V$39/$AA$5,BS!$P$17,BS!$P$18,BS!$C$13)*$Y$30,"")</f>
        <v>2.6735099417115938E-5</v>
      </c>
      <c r="W54" s="136">
        <f>IF($AD$9=1,CTheOptionFormula($Y$14,BS!$P$6,IF($AB$9=1,$T54,BS!$C$8),IF($AB$9=2,$T54,BS!$C$9),W$39/$AA$5,BS!$P$17,BS!$P$18,BS!$C$13)*$Y$30,"")</f>
        <v>7.0387661210260513E-4</v>
      </c>
      <c r="X54" s="136">
        <f>IF($AD$9=1,CTheOptionFormula($Y$14,BS!$P$6,IF($AB$9=1,$T54,BS!$C$8),IF($AB$9=2,$T54,BS!$C$9),X$39/$AA$5,BS!$P$17,BS!$P$18,BS!$C$13)*$Y$30,"")</f>
        <v>2.1179755208197409E-3</v>
      </c>
      <c r="Y54" s="136">
        <f>IF($AD$9=1,CTheOptionFormula($Y$14,BS!$P$6,IF($AB$9=1,$T54,BS!$C$8),IF($AB$9=2,$T54,BS!$C$9),Y$39/$AA$5,BS!$P$17,BS!$P$18,BS!$C$13)*$Y$30,"")</f>
        <v>3.6157730413252224E-3</v>
      </c>
      <c r="Z54" s="136">
        <f>IF($AD$9=1,CTheOptionFormula($Y$14,BS!$P$6,IF($AB$9=1,$T54,BS!$C$8),IF($AB$9=2,$T54,BS!$C$9),Z$39/$AA$5,BS!$P$17,BS!$P$18,BS!$C$13)*$Y$30,"")</f>
        <v>4.9215117750386183E-3</v>
      </c>
      <c r="AA54" s="136">
        <f>IF($AD$9=1,CTheOptionFormula($Y$14,BS!$P$6,IF($AB$9=1,$T54,BS!$C$8),IF($AB$9=2,$T54,BS!$C$9),AA$39/$AA$5,BS!$P$17,BS!$P$18,BS!$C$13)*$Y$30,"")</f>
        <v>5.9912045664998106E-3</v>
      </c>
      <c r="AB54" s="136">
        <f>IF($AD$9=1,CTheOptionFormula($Y$14,BS!$P$6,IF($AB$9=1,$T54,BS!$C$8),IF($AB$9=2,$T54,BS!$C$9),AB$39/$AA$5,BS!$P$17,BS!$P$18,BS!$C$13)*$Y$30,"")</f>
        <v>6.8516220432874621E-3</v>
      </c>
      <c r="AC54" s="136">
        <f>IF($AD$9=1,CTheOptionFormula($Y$14,BS!$P$6,IF($AB$9=1,$T54,BS!$C$8),IF($AB$9=2,$T54,BS!$C$9),AC$39/$AA$5,BS!$P$17,BS!$P$18,BS!$C$13)*$Y$30,"")</f>
        <v>7.5424677418338771E-3</v>
      </c>
      <c r="AD54" s="136">
        <f>IF($AD$9=1,CTheOptionFormula($Y$14,BS!$P$6,IF($AB$9=1,$T54,BS!$C$8),IF($AB$9=2,$T54,BS!$C$9),AD$39/$AA$5,BS!$P$17,BS!$P$18,BS!$C$13)*$Y$30,"")</f>
        <v>8.0998053240504391E-3</v>
      </c>
      <c r="AE54" s="136">
        <f>IF($AD$9=1,CTheOptionFormula($Y$14,BS!$P$6,IF($AB$9=1,$T54,BS!$C$8),IF($AB$9=2,$T54,BS!$C$9),AE$39/$AA$5,BS!$P$17,BS!$P$18,BS!$C$13)*$Y$30,"")</f>
        <v>8.5526984110135436E-3</v>
      </c>
      <c r="AF54" s="136">
        <f>IF($AD$9=1,CTheOptionFormula($Y$14,BS!$P$6,IF($AB$9=1,$T54,BS!$C$8),IF($AB$9=2,$T54,BS!$C$9),AF$39/$AA$5,BS!$P$17,BS!$P$18,BS!$C$13)*$Y$30,"")</f>
        <v>8.9236441044947441E-3</v>
      </c>
      <c r="AG54" s="136">
        <f>IF($AD$9=1,CTheOptionFormula($Y$14,BS!$P$6,IF($AB$9=1,$T54,BS!$C$8),IF($AB$9=2,$T54,BS!$C$9),AG$39/$AA$5,BS!$P$17,BS!$P$18,BS!$C$13)*$Y$30,"")</f>
        <v>9.2298427395521559E-3</v>
      </c>
      <c r="AH54" s="136">
        <f>IF($AD$9=1,CTheOptionFormula($Y$14,BS!$P$6,IF($AB$9=1,$T54,BS!$C$8),IF($AB$9=2,$T54,BS!$C$9),AH$39/$AA$5,BS!$P$17,BS!$P$18,BS!$C$13)*$Y$30,"")</f>
        <v>9.4844378659768285E-3</v>
      </c>
      <c r="AI54" s="136">
        <f>IF($AD$9=1,CTheOptionFormula($Y$14,BS!$P$6,IF($AB$9=1,$T54,BS!$C$8),IF($AB$9=2,$T54,BS!$C$9),AI$39/$AA$5,BS!$P$17,BS!$P$18,BS!$C$13)*$Y$30,"")</f>
        <v>9.6975219683715121E-3</v>
      </c>
      <c r="AJ54" s="136">
        <f>IF($AD$9=1,CTheOptionFormula($Y$14,BS!$P$6,IF($AB$9=1,$T54,BS!$C$8),IF($AB$9=2,$T54,BS!$C$9),AJ$39/$AA$5,BS!$P$17,BS!$P$18,BS!$C$13)*$Y$30,"")</f>
        <v>9.8769018571834497E-3</v>
      </c>
      <c r="AK54" s="136">
        <f>IF($AD$9=1,CTheOptionFormula($Y$14,BS!$P$6,IF($AB$9=1,$T54,BS!$C$8),IF($AB$9=2,$T54,BS!$C$9),AK$39/$AA$5,BS!$P$17,BS!$P$18,BS!$C$13)*$Y$30,"")</f>
        <v>1.0028667298086992E-2</v>
      </c>
      <c r="AL54" s="136">
        <f>IF($AD$9=1,CTheOptionFormula($Y$14,BS!$P$6,IF($AB$9=1,$T54,BS!$C$8),IF($AB$9=2,$T54,BS!$C$9),AL$39/$AA$5,BS!$P$17,BS!$P$18,BS!$C$13)*$Y$30,"")</f>
        <v>1.0157610359262007E-2</v>
      </c>
      <c r="AM54" s="136">
        <f>IF($AD$9=1,CTheOptionFormula($Y$14,BS!$P$6,IF($AB$9=1,$T54,BS!$C$8),IF($AB$9=2,$T54,BS!$C$9),AM$39/$AA$5,BS!$P$17,BS!$P$18,BS!$C$13)*$Y$30,"")</f>
        <v>1.0267534855670639E-2</v>
      </c>
      <c r="AN54" s="136">
        <f>IF($AD$9=1,CTheOptionFormula($Y$14,BS!$P$6,IF($AB$9=1,$T54,BS!$C$8),IF($AB$9=2,$T54,BS!$C$9),AN$39/$AA$5,BS!$P$17,BS!$P$18,BS!$C$13)*$Y$30,"")</f>
        <v>1.0361485756057392E-2</v>
      </c>
      <c r="AO54" s="137">
        <f>IF($AD$9=1,CTheOptionFormula($Y$14,BS!$P$6,IF($AB$9=1,$T54,BS!$C$8),IF($AB$9=2,$T54,BS!$C$9),AO$39/$AA$5,BS!$P$17,BS!$P$18,BS!$C$13)*$Y$30,"")</f>
        <v>1.0441920397158109E-2</v>
      </c>
      <c r="AQ54" s="133">
        <f t="shared" si="3"/>
        <v>3.8624999999999954</v>
      </c>
      <c r="AR54" s="138">
        <f>IF($AA$9=1,CTheOptionFormula($Y$14,BS!$P$6,IF($AB$9=1,$AQ54,BS!$C$8),IF($AB$9=2,$AQ54,BS!$C$9),$L$13/$AA$5,BS!$P$17,BS!$P$18,BS!$C$13)*$Y$30,"")</f>
        <v>-9.0049837836937603E-3</v>
      </c>
    </row>
    <row r="55" spans="2:44">
      <c r="T55" s="129">
        <f t="shared" si="2"/>
        <v>4.5624999999999982</v>
      </c>
      <c r="U55" s="135">
        <f>IF($AD$9=1,CTheOptionFormula($Y$14,BS!$P$6,IF($AB$9=1,$T55,BS!$C$8),IF($AB$9=2,$T55,BS!$C$9),U$39/$AA$5,BS!$P$17,BS!$P$18,BS!$C$13)*$Y$30,"")</f>
        <v>2.5813151648170144E-46</v>
      </c>
      <c r="V55" s="136">
        <f>IF($AD$9=1,CTheOptionFormula($Y$14,BS!$P$6,IF($AB$9=1,$T55,BS!$C$8),IF($AB$9=2,$T55,BS!$C$9),V$39/$AA$5,BS!$P$17,BS!$P$18,BS!$C$13)*$Y$30,"")</f>
        <v>1.6685426158743291E-6</v>
      </c>
      <c r="W55" s="136">
        <f>IF($AD$9=1,CTheOptionFormula($Y$14,BS!$P$6,IF($AB$9=1,$T55,BS!$C$8),IF($AB$9=2,$T55,BS!$C$9),W$39/$AA$5,BS!$P$17,BS!$P$18,BS!$C$13)*$Y$30,"")</f>
        <v>1.6693678905065391E-4</v>
      </c>
      <c r="X55" s="136">
        <f>IF($AD$9=1,CTheOptionFormula($Y$14,BS!$P$6,IF($AB$9=1,$T55,BS!$C$8),IF($AB$9=2,$T55,BS!$C$9),X$39/$AA$5,BS!$P$17,BS!$P$18,BS!$C$13)*$Y$30,"")</f>
        <v>8.0747929244467953E-4</v>
      </c>
      <c r="Y55" s="136">
        <f>IF($AD$9=1,CTheOptionFormula($Y$14,BS!$P$6,IF($AB$9=1,$T55,BS!$C$8),IF($AB$9=2,$T55,BS!$C$9),Y$39/$AA$5,BS!$P$17,BS!$P$18,BS!$C$13)*$Y$30,"")</f>
        <v>1.7562790358078069E-3</v>
      </c>
      <c r="Z55" s="136">
        <f>IF($AD$9=1,CTheOptionFormula($Y$14,BS!$P$6,IF($AB$9=1,$T55,BS!$C$8),IF($AB$9=2,$T55,BS!$C$9),Z$39/$AA$5,BS!$P$17,BS!$P$18,BS!$C$13)*$Y$30,"")</f>
        <v>2.7669302630720415E-3</v>
      </c>
      <c r="AA55" s="136">
        <f>IF($AD$9=1,CTheOptionFormula($Y$14,BS!$P$6,IF($AB$9=1,$T55,BS!$C$8),IF($AB$9=2,$T55,BS!$C$9),AA$39/$AA$5,BS!$P$17,BS!$P$18,BS!$C$13)*$Y$30,"")</f>
        <v>3.7130647179243947E-3</v>
      </c>
      <c r="AB55" s="136">
        <f>IF($AD$9=1,CTheOptionFormula($Y$14,BS!$P$6,IF($AB$9=1,$T55,BS!$C$8),IF($AB$9=2,$T55,BS!$C$9),AB$39/$AA$5,BS!$P$17,BS!$P$18,BS!$C$13)*$Y$30,"")</f>
        <v>4.5509614340234162E-3</v>
      </c>
      <c r="AC55" s="136">
        <f>IF($AD$9=1,CTheOptionFormula($Y$14,BS!$P$6,IF($AB$9=1,$T55,BS!$C$8),IF($AB$9=2,$T55,BS!$C$9),AC$39/$AA$5,BS!$P$17,BS!$P$18,BS!$C$13)*$Y$30,"")</f>
        <v>5.2750664886737795E-3</v>
      </c>
      <c r="AD55" s="136">
        <f>IF($AD$9=1,CTheOptionFormula($Y$14,BS!$P$6,IF($AB$9=1,$T55,BS!$C$8),IF($AB$9=2,$T55,BS!$C$9),AD$39/$AA$5,BS!$P$17,BS!$P$18,BS!$C$13)*$Y$30,"")</f>
        <v>5.8945821954453506E-3</v>
      </c>
      <c r="AE55" s="136">
        <f>IF($AD$9=1,CTheOptionFormula($Y$14,BS!$P$6,IF($AB$9=1,$T55,BS!$C$8),IF($AB$9=2,$T55,BS!$C$9),AE$39/$AA$5,BS!$P$17,BS!$P$18,BS!$C$13)*$Y$30,"")</f>
        <v>6.4230677114870795E-3</v>
      </c>
      <c r="AF55" s="136">
        <f>IF($AD$9=1,CTheOptionFormula($Y$14,BS!$P$6,IF($AB$9=1,$T55,BS!$C$8),IF($AB$9=2,$T55,BS!$C$9),AF$39/$AA$5,BS!$P$17,BS!$P$18,BS!$C$13)*$Y$30,"")</f>
        <v>6.8742072479692998E-3</v>
      </c>
      <c r="AG55" s="136">
        <f>IF($AD$9=1,CTheOptionFormula($Y$14,BS!$P$6,IF($AB$9=1,$T55,BS!$C$8),IF($AB$9=2,$T55,BS!$C$9),AG$39/$AA$5,BS!$P$17,BS!$P$18,BS!$C$13)*$Y$30,"")</f>
        <v>7.2602838548173594E-3</v>
      </c>
      <c r="AH55" s="136">
        <f>IF($AD$9=1,CTheOptionFormula($Y$14,BS!$P$6,IF($AB$9=1,$T55,BS!$C$8),IF($AB$9=2,$T55,BS!$C$9),AH$39/$AA$5,BS!$P$17,BS!$P$18,BS!$C$13)*$Y$30,"")</f>
        <v>7.5917892120936159E-3</v>
      </c>
      <c r="AI55" s="136">
        <f>IF($AD$9=1,CTheOptionFormula($Y$14,BS!$P$6,IF($AB$9=1,$T55,BS!$C$8),IF($AB$9=2,$T55,BS!$C$9),AI$39/$AA$5,BS!$P$17,BS!$P$18,BS!$C$13)*$Y$30,"")</f>
        <v>7.8774820545156193E-3</v>
      </c>
      <c r="AJ55" s="136">
        <f>IF($AD$9=1,CTheOptionFormula($Y$14,BS!$P$6,IF($AB$9=1,$T55,BS!$C$8),IF($AB$9=2,$T55,BS!$C$9),AJ$39/$AA$5,BS!$P$17,BS!$P$18,BS!$C$13)*$Y$30,"")</f>
        <v>8.124600214067846E-3</v>
      </c>
      <c r="AK55" s="136">
        <f>IF($AD$9=1,CTheOptionFormula($Y$14,BS!$P$6,IF($AB$9=1,$T55,BS!$C$8),IF($AB$9=2,$T55,BS!$C$9),AK$39/$AA$5,BS!$P$17,BS!$P$18,BS!$C$13)*$Y$30,"")</f>
        <v>8.3391036001147605E-3</v>
      </c>
      <c r="AL55" s="136">
        <f>IF($AD$9=1,CTheOptionFormula($Y$14,BS!$P$6,IF($AB$9=1,$T55,BS!$C$8),IF($AB$9=2,$T55,BS!$C$9),AL$39/$AA$5,BS!$P$17,BS!$P$18,BS!$C$13)*$Y$30,"")</f>
        <v>8.5259006357936776E-3</v>
      </c>
      <c r="AM55" s="136">
        <f>IF($AD$9=1,CTheOptionFormula($Y$14,BS!$P$6,IF($AB$9=1,$T55,BS!$C$8),IF($AB$9=2,$T55,BS!$C$9),AM$39/$AA$5,BS!$P$17,BS!$P$18,BS!$C$13)*$Y$30,"")</f>
        <v>8.6890429968764556E-3</v>
      </c>
      <c r="AN55" s="136">
        <f>IF($AD$9=1,CTheOptionFormula($Y$14,BS!$P$6,IF($AB$9=1,$T55,BS!$C$8),IF($AB$9=2,$T55,BS!$C$9),AN$39/$AA$5,BS!$P$17,BS!$P$18,BS!$C$13)*$Y$30,"")</f>
        <v>8.8318868728727816E-3</v>
      </c>
      <c r="AO55" s="137">
        <f>IF($AD$9=1,CTheOptionFormula($Y$14,BS!$P$6,IF($AB$9=1,$T55,BS!$C$8),IF($AB$9=2,$T55,BS!$C$9),AO$39/$AA$5,BS!$P$17,BS!$P$18,BS!$C$13)*$Y$30,"")</f>
        <v>8.9572240051127693E-3</v>
      </c>
      <c r="AQ55" s="133">
        <f t="shared" si="3"/>
        <v>3.9062499999999956</v>
      </c>
      <c r="AR55" s="138">
        <f>IF($AA$9=1,CTheOptionFormula($Y$14,BS!$P$6,IF($AB$9=1,$AQ55,BS!$C$8),IF($AB$9=2,$AQ55,BS!$C$9),$L$13/$AA$5,BS!$P$17,BS!$P$18,BS!$C$13)*$Y$30,"")</f>
        <v>-4.7541187055795278E-3</v>
      </c>
    </row>
    <row r="56" spans="2:44">
      <c r="T56" s="129">
        <f t="shared" si="2"/>
        <v>4.6499999999999986</v>
      </c>
      <c r="U56" s="135">
        <f>IF($AD$9=1,CTheOptionFormula($Y$14,BS!$P$6,IF($AB$9=1,$T56,BS!$C$8),IF($AB$9=2,$T56,BS!$C$9),U$39/$AA$5,BS!$P$17,BS!$P$18,BS!$C$13)*$Y$30,"")</f>
        <v>3.5939503210230849E-60</v>
      </c>
      <c r="V56" s="136">
        <f>IF($AD$9=1,CTheOptionFormula($Y$14,BS!$P$6,IF($AB$9=1,$T56,BS!$C$8),IF($AB$9=2,$T56,BS!$C$9),V$39/$AA$5,BS!$P$17,BS!$P$18,BS!$C$13)*$Y$30,"")</f>
        <v>6.9528445766782609E-8</v>
      </c>
      <c r="W56" s="136">
        <f>IF($AD$9=1,CTheOptionFormula($Y$14,BS!$P$6,IF($AB$9=1,$T56,BS!$C$8),IF($AB$9=2,$T56,BS!$C$9),W$39/$AA$5,BS!$P$17,BS!$P$18,BS!$C$13)*$Y$30,"")</f>
        <v>3.171929183677126E-5</v>
      </c>
      <c r="X56" s="136">
        <f>IF($AD$9=1,CTheOptionFormula($Y$14,BS!$P$6,IF($AB$9=1,$T56,BS!$C$8),IF($AB$9=2,$T56,BS!$C$9),X$39/$AA$5,BS!$P$17,BS!$P$18,BS!$C$13)*$Y$30,"")</f>
        <v>2.6338137737265318E-4</v>
      </c>
      <c r="Y56" s="136">
        <f>IF($AD$9=1,CTheOptionFormula($Y$14,BS!$P$6,IF($AB$9=1,$T56,BS!$C$8),IF($AB$9=2,$T56,BS!$C$9),Y$39/$AA$5,BS!$P$17,BS!$P$18,BS!$C$13)*$Y$30,"")</f>
        <v>7.5518187514529115E-4</v>
      </c>
      <c r="Z56" s="136">
        <f>IF($AD$9=1,CTheOptionFormula($Y$14,BS!$P$6,IF($AB$9=1,$T56,BS!$C$8),IF($AB$9=2,$T56,BS!$C$9),Z$39/$AA$5,BS!$P$17,BS!$P$18,BS!$C$13)*$Y$30,"")</f>
        <v>1.4064076546775814E-3</v>
      </c>
      <c r="AA56" s="136">
        <f>IF($AD$9=1,CTheOptionFormula($Y$14,BS!$P$6,IF($AB$9=1,$T56,BS!$C$8),IF($AB$9=2,$T56,BS!$C$9),AA$39/$AA$5,BS!$P$17,BS!$P$18,BS!$C$13)*$Y$30,"")</f>
        <v>2.1106332761625943E-3</v>
      </c>
      <c r="AB56" s="136">
        <f>IF($AD$9=1,CTheOptionFormula($Y$14,BS!$P$6,IF($AB$9=1,$T56,BS!$C$8),IF($AB$9=2,$T56,BS!$C$9),AB$39/$AA$5,BS!$P$17,BS!$P$18,BS!$C$13)*$Y$30,"")</f>
        <v>2.8018169663028168E-3</v>
      </c>
      <c r="AC56" s="136">
        <f>IF($AD$9=1,CTheOptionFormula($Y$14,BS!$P$6,IF($AB$9=1,$T56,BS!$C$8),IF($AB$9=2,$T56,BS!$C$9),AC$39/$AA$5,BS!$P$17,BS!$P$18,BS!$C$13)*$Y$30,"")</f>
        <v>3.4472074032104979E-3</v>
      </c>
      <c r="AD56" s="136">
        <f>IF($AD$9=1,CTheOptionFormula($Y$14,BS!$P$6,IF($AB$9=1,$T56,BS!$C$8),IF($AB$9=2,$T56,BS!$C$9),AD$39/$AA$5,BS!$P$17,BS!$P$18,BS!$C$13)*$Y$30,"")</f>
        <v>4.0339861404341216E-3</v>
      </c>
      <c r="AE56" s="136">
        <f>IF($AD$9=1,CTheOptionFormula($Y$14,BS!$P$6,IF($AB$9=1,$T56,BS!$C$8),IF($AB$9=2,$T56,BS!$C$9),AE$39/$AA$5,BS!$P$17,BS!$P$18,BS!$C$13)*$Y$30,"")</f>
        <v>4.5598692588861697E-3</v>
      </c>
      <c r="AF56" s="136">
        <f>IF($AD$9=1,CTheOptionFormula($Y$14,BS!$P$6,IF($AB$9=1,$T56,BS!$C$8),IF($AB$9=2,$T56,BS!$C$9),AF$39/$AA$5,BS!$P$17,BS!$P$18,BS!$C$13)*$Y$30,"")</f>
        <v>5.0276561189574777E-3</v>
      </c>
      <c r="AG56" s="136">
        <f>IF($AD$9=1,CTheOptionFormula($Y$14,BS!$P$6,IF($AB$9=1,$T56,BS!$C$8),IF($AB$9=2,$T56,BS!$C$9),AG$39/$AA$5,BS!$P$17,BS!$P$18,BS!$C$13)*$Y$30,"")</f>
        <v>5.4422986562852336E-3</v>
      </c>
      <c r="AH56" s="136">
        <f>IF($AD$9=1,CTheOptionFormula($Y$14,BS!$P$6,IF($AB$9=1,$T56,BS!$C$8),IF($AB$9=2,$T56,BS!$C$9),AH$39/$AA$5,BS!$P$17,BS!$P$18,BS!$C$13)*$Y$30,"")</f>
        <v>5.8093972819040938E-3</v>
      </c>
      <c r="AI56" s="136">
        <f>IF($AD$9=1,CTheOptionFormula($Y$14,BS!$P$6,IF($AB$9=1,$T56,BS!$C$8),IF($AB$9=2,$T56,BS!$C$9),AI$39/$AA$5,BS!$P$17,BS!$P$18,BS!$C$13)*$Y$30,"")</f>
        <v>6.134466703650426E-3</v>
      </c>
      <c r="AJ56" s="136">
        <f>IF($AD$9=1,CTheOptionFormula($Y$14,BS!$P$6,IF($AB$9=1,$T56,BS!$C$8),IF($AB$9=2,$T56,BS!$C$9),AJ$39/$AA$5,BS!$P$17,BS!$P$18,BS!$C$13)*$Y$30,"")</f>
        <v>6.4226068522742043E-3</v>
      </c>
      <c r="AK56" s="136">
        <f>IF($AD$9=1,CTheOptionFormula($Y$14,BS!$P$6,IF($AB$9=1,$T56,BS!$C$8),IF($AB$9=2,$T56,BS!$C$9),AK$39/$AA$5,BS!$P$17,BS!$P$18,BS!$C$13)*$Y$30,"")</f>
        <v>6.6783821996961997E-3</v>
      </c>
      <c r="AL56" s="136">
        <f>IF($AD$9=1,CTheOptionFormula($Y$14,BS!$P$6,IF($AB$9=1,$T56,BS!$C$8),IF($AB$9=2,$T56,BS!$C$9),AL$39/$AA$5,BS!$P$17,BS!$P$18,BS!$C$13)*$Y$30,"")</f>
        <v>6.9058048148164953E-3</v>
      </c>
      <c r="AM56" s="136">
        <f>IF($AD$9=1,CTheOptionFormula($Y$14,BS!$P$6,IF($AB$9=1,$T56,BS!$C$8),IF($AB$9=2,$T56,BS!$C$9),AM$39/$AA$5,BS!$P$17,BS!$P$18,BS!$C$13)*$Y$30,"")</f>
        <v>7.1083660080666564E-3</v>
      </c>
      <c r="AN56" s="136">
        <f>IF($AD$9=1,CTheOptionFormula($Y$14,BS!$P$6,IF($AB$9=1,$T56,BS!$C$8),IF($AB$9=2,$T56,BS!$C$9),AN$39/$AA$5,BS!$P$17,BS!$P$18,BS!$C$13)*$Y$30,"")</f>
        <v>7.2890878802025303E-3</v>
      </c>
      <c r="AO56" s="137">
        <f>IF($AD$9=1,CTheOptionFormula($Y$14,BS!$P$6,IF($AB$9=1,$T56,BS!$C$8),IF($AB$9=2,$T56,BS!$C$9),AO$39/$AA$5,BS!$P$17,BS!$P$18,BS!$C$13)*$Y$30,"")</f>
        <v>7.4505802050584711E-3</v>
      </c>
      <c r="AQ56" s="133">
        <f t="shared" si="3"/>
        <v>3.9499999999999957</v>
      </c>
      <c r="AR56" s="138">
        <f>IF($AA$9=1,CTheOptionFormula($Y$14,BS!$P$6,IF($AB$9=1,$AQ56,BS!$C$8),IF($AB$9=2,$AQ56,BS!$C$9),$L$13/$AA$5,BS!$P$17,BS!$P$18,BS!$C$13)*$Y$30,"")</f>
        <v>-6.0900813272892555E-5</v>
      </c>
    </row>
    <row r="57" spans="2:44">
      <c r="T57" s="129">
        <f t="shared" si="2"/>
        <v>4.7374999999999989</v>
      </c>
      <c r="U57" s="135">
        <f>IF($AD$9=1,CTheOptionFormula($Y$14,BS!$P$6,IF($AB$9=1,$T57,BS!$C$8),IF($AB$9=2,$T57,BS!$C$9),U$39/$AA$5,BS!$P$17,BS!$P$18,BS!$C$13)*$Y$30,"")</f>
        <v>1.3642827471328712E-75</v>
      </c>
      <c r="V57" s="136">
        <f>IF($AD$9=1,CTheOptionFormula($Y$14,BS!$P$6,IF($AB$9=1,$T57,BS!$C$8),IF($AB$9=2,$T57,BS!$C$9),V$39/$AA$5,BS!$P$17,BS!$P$18,BS!$C$13)*$Y$30,"")</f>
        <v>1.9894585887535923E-9</v>
      </c>
      <c r="W57" s="136">
        <f>IF($AD$9=1,CTheOptionFormula($Y$14,BS!$P$6,IF($AB$9=1,$T57,BS!$C$8),IF($AB$9=2,$T57,BS!$C$9),W$39/$AA$5,BS!$P$17,BS!$P$18,BS!$C$13)*$Y$30,"")</f>
        <v>4.9118487267705824E-6</v>
      </c>
      <c r="X57" s="136">
        <f>IF($AD$9=1,CTheOptionFormula($Y$14,BS!$P$6,IF($AB$9=1,$T57,BS!$C$8),IF($AB$9=2,$T57,BS!$C$9),X$39/$AA$5,BS!$P$17,BS!$P$18,BS!$C$13)*$Y$30,"")</f>
        <v>7.4462390066193815E-5</v>
      </c>
      <c r="Y57" s="136">
        <f>IF($AD$9=1,CTheOptionFormula($Y$14,BS!$P$6,IF($AB$9=1,$T57,BS!$C$8),IF($AB$9=2,$T57,BS!$C$9),Y$39/$AA$5,BS!$P$17,BS!$P$18,BS!$C$13)*$Y$30,"")</f>
        <v>2.9057638555749312E-4</v>
      </c>
      <c r="Z57" s="136">
        <f>IF($AD$9=1,CTheOptionFormula($Y$14,BS!$P$6,IF($AB$9=1,$T57,BS!$C$8),IF($AB$9=2,$T57,BS!$C$9),Z$39/$AA$5,BS!$P$17,BS!$P$18,BS!$C$13)*$Y$30,"")</f>
        <v>6.5236738954477767E-4</v>
      </c>
      <c r="AA57" s="136">
        <f>IF($AD$9=1,CTheOptionFormula($Y$14,BS!$P$6,IF($AB$9=1,$T57,BS!$C$8),IF($AB$9=2,$T57,BS!$C$9),AA$39/$AA$5,BS!$P$17,BS!$P$18,BS!$C$13)*$Y$30,"")</f>
        <v>1.1095736156227463E-3</v>
      </c>
      <c r="AB57" s="136">
        <f>IF($AD$9=1,CTheOptionFormula($Y$14,BS!$P$6,IF($AB$9=1,$T57,BS!$C$8),IF($AB$9=2,$T57,BS!$C$9),AB$39/$AA$5,BS!$P$17,BS!$P$18,BS!$C$13)*$Y$30,"")</f>
        <v>1.6108535744626682E-3</v>
      </c>
      <c r="AC57" s="136">
        <f>IF($AD$9=1,CTheOptionFormula($Y$14,BS!$P$6,IF($AB$9=1,$T57,BS!$C$8),IF($AB$9=2,$T57,BS!$C$9),AC$39/$AA$5,BS!$P$17,BS!$P$18,BS!$C$13)*$Y$30,"")</f>
        <v>2.1193608999239351E-3</v>
      </c>
      <c r="AD57" s="136">
        <f>IF($AD$9=1,CTheOptionFormula($Y$14,BS!$P$6,IF($AB$9=1,$T57,BS!$C$8),IF($AB$9=2,$T57,BS!$C$9),AD$39/$AA$5,BS!$P$17,BS!$P$18,BS!$C$13)*$Y$30,"")</f>
        <v>2.6125199402102688E-3</v>
      </c>
      <c r="AE57" s="136">
        <f>IF($AD$9=1,CTheOptionFormula($Y$14,BS!$P$6,IF($AB$9=1,$T57,BS!$C$8),IF($AB$9=2,$T57,BS!$C$9),AE$39/$AA$5,BS!$P$17,BS!$P$18,BS!$C$13)*$Y$30,"")</f>
        <v>3.0780562763143876E-3</v>
      </c>
      <c r="AF57" s="136">
        <f>IF($AD$9=1,CTheOptionFormula($Y$14,BS!$P$6,IF($AB$9=1,$T57,BS!$C$8),IF($AB$9=2,$T57,BS!$C$9),AF$39/$AA$5,BS!$P$17,BS!$P$18,BS!$C$13)*$Y$30,"")</f>
        <v>3.5102998950214755E-3</v>
      </c>
      <c r="AG57" s="136">
        <f>IF($AD$9=1,CTheOptionFormula($Y$14,BS!$P$6,IF($AB$9=1,$T57,BS!$C$8),IF($AB$9=2,$T57,BS!$C$9),AG$39/$AA$5,BS!$P$17,BS!$P$18,BS!$C$13)*$Y$30,"")</f>
        <v>3.9075459319039899E-3</v>
      </c>
      <c r="AH57" s="136">
        <f>IF($AD$9=1,CTheOptionFormula($Y$14,BS!$P$6,IF($AB$9=1,$T57,BS!$C$8),IF($AB$9=2,$T57,BS!$C$9),AH$39/$AA$5,BS!$P$17,BS!$P$18,BS!$C$13)*$Y$30,"")</f>
        <v>4.2703460352454111E-3</v>
      </c>
      <c r="AI57" s="136">
        <f>IF($AD$9=1,CTheOptionFormula($Y$14,BS!$P$6,IF($AB$9=1,$T57,BS!$C$8),IF($AB$9=2,$T57,BS!$C$9),AI$39/$AA$5,BS!$P$17,BS!$P$18,BS!$C$13)*$Y$30,"")</f>
        <v>4.6004537047980966E-3</v>
      </c>
      <c r="AJ57" s="136">
        <f>IF($AD$9=1,CTheOptionFormula($Y$14,BS!$P$6,IF($AB$9=1,$T57,BS!$C$8),IF($AB$9=2,$T57,BS!$C$9),AJ$39/$AA$5,BS!$P$17,BS!$P$18,BS!$C$13)*$Y$30,"")</f>
        <v>4.9001924677041335E-3</v>
      </c>
      <c r="AK57" s="136">
        <f>IF($AD$9=1,CTheOptionFormula($Y$14,BS!$P$6,IF($AB$9=1,$T57,BS!$C$8),IF($AB$9=2,$T57,BS!$C$9),AK$39/$AA$5,BS!$P$17,BS!$P$18,BS!$C$13)*$Y$30,"")</f>
        <v>5.1720871785026264E-3</v>
      </c>
      <c r="AL57" s="136">
        <f>IF($AD$9=1,CTheOptionFormula($Y$14,BS!$P$6,IF($AB$9=1,$T57,BS!$C$8),IF($AB$9=2,$T57,BS!$C$9),AL$39/$AA$5,BS!$P$17,BS!$P$18,BS!$C$13)*$Y$30,"")</f>
        <v>5.4186557477029617E-3</v>
      </c>
      <c r="AM57" s="136">
        <f>IF($AD$9=1,CTheOptionFormula($Y$14,BS!$P$6,IF($AB$9=1,$T57,BS!$C$8),IF($AB$9=2,$T57,BS!$C$9),AM$39/$AA$5,BS!$P$17,BS!$P$18,BS!$C$13)*$Y$30,"")</f>
        <v>5.6422973570139619E-3</v>
      </c>
      <c r="AN57" s="136">
        <f>IF($AD$9=1,CTheOptionFormula($Y$14,BS!$P$6,IF($AB$9=1,$T57,BS!$C$8),IF($AB$9=2,$T57,BS!$C$9),AN$39/$AA$5,BS!$P$17,BS!$P$18,BS!$C$13)*$Y$30,"")</f>
        <v>5.8452379576190358E-3</v>
      </c>
      <c r="AO57" s="137">
        <f>IF($AD$9=1,CTheOptionFormula($Y$14,BS!$P$6,IF($AB$9=1,$T57,BS!$C$8),IF($AB$9=2,$T57,BS!$C$9),AO$39/$AA$5,BS!$P$17,BS!$P$18,BS!$C$13)*$Y$30,"")</f>
        <v>6.0295092078202824E-3</v>
      </c>
      <c r="AQ57" s="133">
        <f t="shared" si="3"/>
        <v>3.9937499999999959</v>
      </c>
      <c r="AR57" s="138">
        <f>IF($AA$9=1,CTheOptionFormula($Y$14,BS!$P$6,IF($AB$9=1,$AQ57,BS!$C$8),IF($AB$9=2,$AQ57,BS!$C$9),$L$13/$AA$5,BS!$P$17,BS!$P$18,BS!$C$13)*$Y$30,"")</f>
        <v>4.4884163304393133E-3</v>
      </c>
    </row>
    <row r="58" spans="2:44">
      <c r="T58" s="129">
        <f t="shared" si="2"/>
        <v>4.8249999999999993</v>
      </c>
      <c r="U58" s="135">
        <f>IF($AD$9=1,CTheOptionFormula($Y$14,BS!$P$6,IF($AB$9=1,$T58,BS!$C$8),IF($AB$9=2,$T58,BS!$C$9),U$39/$AA$5,BS!$P$17,BS!$P$18,BS!$C$13)*$Y$30,"")</f>
        <v>1.7438900818578925E-92</v>
      </c>
      <c r="V58" s="136">
        <f>IF($AD$9=1,CTheOptionFormula($Y$14,BS!$P$6,IF($AB$9=1,$T58,BS!$C$8),IF($AB$9=2,$T58,BS!$C$9),V$39/$AA$5,BS!$P$17,BS!$P$18,BS!$C$13)*$Y$30,"")</f>
        <v>4.0062765724707774E-11</v>
      </c>
      <c r="W58" s="136">
        <f>IF($AD$9=1,CTheOptionFormula($Y$14,BS!$P$6,IF($AB$9=1,$T58,BS!$C$8),IF($AB$9=2,$T58,BS!$C$9),W$39/$AA$5,BS!$P$17,BS!$P$18,BS!$C$13)*$Y$30,"")</f>
        <v>6.2897648224888714E-7</v>
      </c>
      <c r="X58" s="136">
        <f>IF($AD$9=1,CTheOptionFormula($Y$14,BS!$P$6,IF($AB$9=1,$T58,BS!$C$8),IF($AB$9=2,$T58,BS!$C$9),X$39/$AA$5,BS!$P$17,BS!$P$18,BS!$C$13)*$Y$30,"")</f>
        <v>1.8445643893000869E-5</v>
      </c>
      <c r="Y58" s="136">
        <f>IF($AD$9=1,CTheOptionFormula($Y$14,BS!$P$6,IF($AB$9=1,$T58,BS!$C$8),IF($AB$9=2,$T58,BS!$C$9),Y$39/$AA$5,BS!$P$17,BS!$P$18,BS!$C$13)*$Y$30,"")</f>
        <v>1.0094039099490585E-4</v>
      </c>
      <c r="Z58" s="136">
        <f>IF($AD$9=1,CTheOptionFormula($Y$14,BS!$P$6,IF($AB$9=1,$T58,BS!$C$8),IF($AB$9=2,$T58,BS!$C$9),Z$39/$AA$5,BS!$P$17,BS!$P$18,BS!$C$13)*$Y$30,"")</f>
        <v>2.7825150037409917E-4</v>
      </c>
      <c r="AA58" s="136">
        <f>IF($AD$9=1,CTheOptionFormula($Y$14,BS!$P$6,IF($AB$9=1,$T58,BS!$C$8),IF($AB$9=2,$T58,BS!$C$9),AA$39/$AA$5,BS!$P$17,BS!$P$18,BS!$C$13)*$Y$30,"")</f>
        <v>5.4308910675407256E-4</v>
      </c>
      <c r="AB58" s="136">
        <f>IF($AD$9=1,CTheOptionFormula($Y$14,BS!$P$6,IF($AB$9=1,$T58,BS!$C$8),IF($AB$9=2,$T58,BS!$C$9),AB$39/$AA$5,BS!$P$17,BS!$P$18,BS!$C$13)*$Y$30,"")</f>
        <v>8.7009725239343754E-4</v>
      </c>
      <c r="AC58" s="136">
        <f>IF($AD$9=1,CTheOptionFormula($Y$14,BS!$P$6,IF($AB$9=1,$T58,BS!$C$8),IF($AB$9=2,$T58,BS!$C$9),AC$39/$AA$5,BS!$P$17,BS!$P$18,BS!$C$13)*$Y$30,"")</f>
        <v>1.2326063315703643E-3</v>
      </c>
      <c r="AD58" s="136">
        <f>IF($AD$9=1,CTheOptionFormula($Y$14,BS!$P$6,IF($AB$9=1,$T58,BS!$C$8),IF($AB$9=2,$T58,BS!$C$9),AD$39/$AA$5,BS!$P$17,BS!$P$18,BS!$C$13)*$Y$30,"")</f>
        <v>1.6092472027885696E-3</v>
      </c>
      <c r="AE58" s="136">
        <f>IF($AD$9=1,CTheOptionFormula($Y$14,BS!$P$6,IF($AB$9=1,$T58,BS!$C$8),IF($AB$9=2,$T58,BS!$C$9),AE$39/$AA$5,BS!$P$17,BS!$P$18,BS!$C$13)*$Y$30,"")</f>
        <v>1.984949879248138E-3</v>
      </c>
      <c r="AF58" s="136">
        <f>IF($AD$9=1,CTheOptionFormula($Y$14,BS!$P$6,IF($AB$9=1,$T58,BS!$C$8),IF($AB$9=2,$T58,BS!$C$9),AF$39/$AA$5,BS!$P$17,BS!$P$18,BS!$C$13)*$Y$30,"")</f>
        <v>2.3499377394325676E-3</v>
      </c>
      <c r="AG58" s="136">
        <f>IF($AD$9=1,CTheOptionFormula($Y$14,BS!$P$6,IF($AB$9=1,$T58,BS!$C$8),IF($AB$9=2,$T58,BS!$C$9),AG$39/$AA$5,BS!$P$17,BS!$P$18,BS!$C$13)*$Y$30,"")</f>
        <v>2.69834457328068E-3</v>
      </c>
      <c r="AH58" s="136">
        <f>IF($AD$9=1,CTheOptionFormula($Y$14,BS!$P$6,IF($AB$9=1,$T58,BS!$C$8),IF($AB$9=2,$T58,BS!$C$9),AH$39/$AA$5,BS!$P$17,BS!$P$18,BS!$C$13)*$Y$30,"")</f>
        <v>3.0270088781462817E-3</v>
      </c>
      <c r="AI58" s="136">
        <f>IF($AD$9=1,CTheOptionFormula($Y$14,BS!$P$6,IF($AB$9=1,$T58,BS!$C$8),IF($AB$9=2,$T58,BS!$C$9),AI$39/$AA$5,BS!$P$17,BS!$P$18,BS!$C$13)*$Y$30,"")</f>
        <v>3.3345630115344236E-3</v>
      </c>
      <c r="AJ58" s="136">
        <f>IF($AD$9=1,CTheOptionFormula($Y$14,BS!$P$6,IF($AB$9=1,$T58,BS!$C$8),IF($AB$9=2,$T58,BS!$C$9),AJ$39/$AA$5,BS!$P$17,BS!$P$18,BS!$C$13)*$Y$30,"")</f>
        <v>3.6207888394800751E-3</v>
      </c>
      <c r="AK58" s="136">
        <f>IF($AD$9=1,CTheOptionFormula($Y$14,BS!$P$6,IF($AB$9=1,$T58,BS!$C$8),IF($AB$9=2,$T58,BS!$C$9),AK$39/$AA$5,BS!$P$17,BS!$P$18,BS!$C$13)*$Y$30,"")</f>
        <v>3.8861779189841256E-3</v>
      </c>
      <c r="AL58" s="136">
        <f>IF($AD$9=1,CTheOptionFormula($Y$14,BS!$P$6,IF($AB$9=1,$T58,BS!$C$8),IF($AB$9=2,$T58,BS!$C$9),AL$39/$AA$5,BS!$P$17,BS!$P$18,BS!$C$13)*$Y$30,"")</f>
        <v>4.1316380055336074E-3</v>
      </c>
      <c r="AM58" s="136">
        <f>IF($AD$9=1,CTheOptionFormula($Y$14,BS!$P$6,IF($AB$9=1,$T58,BS!$C$8),IF($AB$9=2,$T58,BS!$C$9),AM$39/$AA$5,BS!$P$17,BS!$P$18,BS!$C$13)*$Y$30,"")</f>
        <v>4.3583005791958318E-3</v>
      </c>
      <c r="AN58" s="136">
        <f>IF($AD$9=1,CTheOptionFormula($Y$14,BS!$P$6,IF($AB$9=1,$T58,BS!$C$8),IF($AB$9=2,$T58,BS!$C$9),AN$39/$AA$5,BS!$P$17,BS!$P$18,BS!$C$13)*$Y$30,"")</f>
        <v>4.5673967393246948E-3</v>
      </c>
      <c r="AO58" s="137">
        <f>IF($AD$9=1,CTheOptionFormula($Y$14,BS!$P$6,IF($AB$9=1,$T58,BS!$C$8),IF($AB$9=2,$T58,BS!$C$9),AO$39/$AA$5,BS!$P$17,BS!$P$18,BS!$C$13)*$Y$30,"")</f>
        <v>4.7601788083720216E-3</v>
      </c>
      <c r="AQ58" s="133">
        <f t="shared" si="3"/>
        <v>4.0374999999999961</v>
      </c>
      <c r="AR58" s="138">
        <f>IF($AA$9=1,CTheOptionFormula($Y$14,BS!$P$6,IF($AB$9=1,$AQ58,BS!$C$8),IF($AB$9=2,$AQ58,BS!$C$9),$L$13/$AA$5,BS!$P$17,BS!$P$18,BS!$C$13)*$Y$30,"")</f>
        <v>8.3667228215137807E-3</v>
      </c>
    </row>
    <row r="59" spans="2:44">
      <c r="T59" s="129">
        <f>T60-($D$14-$D$13)/20</f>
        <v>4.9124999999999996</v>
      </c>
      <c r="U59" s="135">
        <f>IF($AD$9=1,CTheOptionFormula($Y$14,BS!$P$6,IF($AB$9=1,$T59,BS!$C$8),IF($AB$9=2,$T59,BS!$C$9),U$39/$AA$5,BS!$P$17,BS!$P$18,BS!$C$13)*$Y$30,"")</f>
        <v>9.1314305673790783E-111</v>
      </c>
      <c r="V59" s="136">
        <f>IF($AD$9=1,CTheOptionFormula($Y$14,BS!$P$6,IF($AB$9=1,$T59,BS!$C$8),IF($AB$9=2,$T59,BS!$C$9),V$39/$AA$5,BS!$P$17,BS!$P$18,BS!$C$13)*$Y$30,"")</f>
        <v>5.8044658797886615E-13</v>
      </c>
      <c r="W59" s="136">
        <f>IF($AD$9=1,CTheOptionFormula($Y$14,BS!$P$6,IF($AB$9=1,$T59,BS!$C$8),IF($AB$9=2,$T59,BS!$C$9),W$39/$AA$5,BS!$P$17,BS!$P$18,BS!$C$13)*$Y$30,"")</f>
        <v>6.7456614799643501E-8</v>
      </c>
      <c r="X59" s="136">
        <f>IF($AD$9=1,CTheOptionFormula($Y$14,BS!$P$6,IF($AB$9=1,$T59,BS!$C$8),IF($AB$9=2,$T59,BS!$C$9),X$39/$AA$5,BS!$P$17,BS!$P$18,BS!$C$13)*$Y$30,"")</f>
        <v>4.0411965215620393E-6</v>
      </c>
      <c r="Y59" s="136">
        <f>IF($AD$9=1,CTheOptionFormula($Y$14,BS!$P$6,IF($AB$9=1,$T59,BS!$C$8),IF($AB$9=2,$T59,BS!$C$9),Y$39/$AA$5,BS!$P$17,BS!$P$18,BS!$C$13)*$Y$30,"")</f>
        <v>3.1896189119857891E-5</v>
      </c>
      <c r="Z59" s="136">
        <f>IF($AD$9=1,CTheOptionFormula($Y$14,BS!$P$6,IF($AB$9=1,$T59,BS!$C$8),IF($AB$9=2,$T59,BS!$C$9),Z$39/$AA$5,BS!$P$17,BS!$P$18,BS!$C$13)*$Y$30,"")</f>
        <v>1.0983199891923773E-4</v>
      </c>
      <c r="AA59" s="136">
        <f>IF($AD$9=1,CTheOptionFormula($Y$14,BS!$P$6,IF($AB$9=1,$T59,BS!$C$8),IF($AB$9=2,$T59,BS!$C$9),AA$39/$AA$5,BS!$P$17,BS!$P$18,BS!$C$13)*$Y$30,"")</f>
        <v>2.4888395937977634E-4</v>
      </c>
      <c r="AB59" s="136">
        <f>IF($AD$9=1,CTheOptionFormula($Y$14,BS!$P$6,IF($AB$9=1,$T59,BS!$C$8),IF($AB$9=2,$T59,BS!$C$9),AB$39/$AA$5,BS!$P$17,BS!$P$18,BS!$C$13)*$Y$30,"")</f>
        <v>4.4377056636120719E-4</v>
      </c>
      <c r="AC59" s="136">
        <f>IF($AD$9=1,CTheOptionFormula($Y$14,BS!$P$6,IF($AB$9=1,$T59,BS!$C$8),IF($AB$9=2,$T59,BS!$C$9),AC$39/$AA$5,BS!$P$17,BS!$P$18,BS!$C$13)*$Y$30,"")</f>
        <v>6.8125429744221372E-4</v>
      </c>
      <c r="AD59" s="136">
        <f>IF($AD$9=1,CTheOptionFormula($Y$14,BS!$P$6,IF($AB$9=1,$T59,BS!$C$8),IF($AB$9=2,$T59,BS!$C$9),AD$39/$AA$5,BS!$P$17,BS!$P$18,BS!$C$13)*$Y$30,"")</f>
        <v>9.4677111783300183E-4</v>
      </c>
      <c r="AE59" s="136">
        <f>IF($AD$9=1,CTheOptionFormula($Y$14,BS!$P$6,IF($AB$9=1,$T59,BS!$C$8),IF($AB$9=2,$T59,BS!$C$9),AE$39/$AA$5,BS!$P$17,BS!$P$18,BS!$C$13)*$Y$30,"")</f>
        <v>1.2276013914531321E-3</v>
      </c>
      <c r="AF59" s="136">
        <f>IF($AD$9=1,CTheOptionFormula($Y$14,BS!$P$6,IF($AB$9=1,$T59,BS!$C$8),IF($AB$9=2,$T59,BS!$C$9),AF$39/$AA$5,BS!$P$17,BS!$P$18,BS!$C$13)*$Y$30,"")</f>
        <v>1.513815838338988E-3</v>
      </c>
      <c r="AG59" s="136">
        <f>IF($AD$9=1,CTheOptionFormula($Y$14,BS!$P$6,IF($AB$9=1,$T59,BS!$C$8),IF($AB$9=2,$T59,BS!$C$9),AG$39/$AA$5,BS!$P$17,BS!$P$18,BS!$C$13)*$Y$30,"")</f>
        <v>1.7981833990460628E-3</v>
      </c>
      <c r="AH59" s="136">
        <f>IF($AD$9=1,CTheOptionFormula($Y$14,BS!$P$6,IF($AB$9=1,$T59,BS!$C$8),IF($AB$9=2,$T59,BS!$C$9),AH$39/$AA$5,BS!$P$17,BS!$P$18,BS!$C$13)*$Y$30,"")</f>
        <v>2.0757137780788425E-3</v>
      </c>
      <c r="AI59" s="136">
        <f>IF($AD$9=1,CTheOptionFormula($Y$14,BS!$P$6,IF($AB$9=1,$T59,BS!$C$8),IF($AB$9=2,$T59,BS!$C$9),AI$39/$AA$5,BS!$P$17,BS!$P$18,BS!$C$13)*$Y$30,"")</f>
        <v>2.3431432751304061E-3</v>
      </c>
      <c r="AJ59" s="136">
        <f>IF($AD$9=1,CTheOptionFormula($Y$14,BS!$P$6,IF($AB$9=1,$T59,BS!$C$8),IF($AB$9=2,$T59,BS!$C$9),AJ$39/$AA$5,BS!$P$17,BS!$P$18,BS!$C$13)*$Y$30,"")</f>
        <v>2.598481353445794E-3</v>
      </c>
      <c r="AK59" s="136">
        <f>IF($AD$9=1,CTheOptionFormula($Y$14,BS!$P$6,IF($AB$9=1,$T59,BS!$C$8),IF($AB$9=2,$T59,BS!$C$9),AK$39/$AA$5,BS!$P$17,BS!$P$18,BS!$C$13)*$Y$30,"")</f>
        <v>2.8406485843353664E-3</v>
      </c>
      <c r="AL59" s="136">
        <f>IF($AD$9=1,CTheOptionFormula($Y$14,BS!$P$6,IF($AB$9=1,$T59,BS!$C$8),IF($AB$9=2,$T59,BS!$C$9),AL$39/$AA$5,BS!$P$17,BS!$P$18,BS!$C$13)*$Y$30,"")</f>
        <v>3.0692020132590037E-3</v>
      </c>
      <c r="AM59" s="136">
        <f>IF($AD$9=1,CTheOptionFormula($Y$14,BS!$P$6,IF($AB$9=1,$T59,BS!$C$8),IF($AB$9=2,$T59,BS!$C$9),AM$39/$AA$5,BS!$P$17,BS!$P$18,BS!$C$13)*$Y$30,"")</f>
        <v>3.284132986819361E-3</v>
      </c>
      <c r="AN59" s="136">
        <f>IF($AD$9=1,CTheOptionFormula($Y$14,BS!$P$6,IF($AB$9=1,$T59,BS!$C$8),IF($AB$9=2,$T59,BS!$C$9),AN$39/$AA$5,BS!$P$17,BS!$P$18,BS!$C$13)*$Y$30,"")</f>
        <v>3.4857211659256818E-3</v>
      </c>
      <c r="AO59" s="137">
        <f>IF($AD$9=1,CTheOptionFormula($Y$14,BS!$P$6,IF($AB$9=1,$T59,BS!$C$8),IF($AB$9=2,$T59,BS!$C$9),AO$39/$AA$5,BS!$P$17,BS!$P$18,BS!$C$13)*$Y$30,"")</f>
        <v>3.6744305653821203E-3</v>
      </c>
      <c r="AQ59" s="133">
        <f t="shared" si="3"/>
        <v>4.0812499999999963</v>
      </c>
      <c r="AR59" s="138">
        <f>IF($AA$9=1,CTheOptionFormula($Y$14,BS!$P$6,IF($AB$9=1,$AQ59,BS!$C$8),IF($AB$9=2,$AQ59,BS!$C$9),$L$13/$AA$5,BS!$P$17,BS!$P$18,BS!$C$13)*$Y$30,"")</f>
        <v>1.1201374530742774E-2</v>
      </c>
    </row>
    <row r="60" spans="2:44">
      <c r="T60" s="145">
        <f>D14</f>
        <v>5</v>
      </c>
      <c r="U60" s="146">
        <f>IF($AD$9=1,CTheOptionFormula($Y$14,BS!$P$6,IF($AB$9=1,$T60,BS!$C$8),IF($AB$9=2,$T60,BS!$C$9),U$39/$AA$5,BS!$P$17,BS!$P$18,BS!$C$13)*$Y$30,"")</f>
        <v>2.3507785039134473E-130</v>
      </c>
      <c r="V60" s="147">
        <f>IF($AD$9=1,CTheOptionFormula($Y$14,BS!$P$6,IF($AB$9=1,$T60,BS!$C$8),IF($AB$9=2,$T60,BS!$C$9),V$39/$AA$5,BS!$P$17,BS!$P$18,BS!$C$13)*$Y$30,"")</f>
        <v>6.1731401711434065E-15</v>
      </c>
      <c r="W60" s="147">
        <f>IF($AD$9=1,CTheOptionFormula($Y$14,BS!$P$6,IF($AB$9=1,$T60,BS!$C$8),IF($AB$9=2,$T60,BS!$C$9),W$39/$AA$5,BS!$P$17,BS!$P$18,BS!$C$13)*$Y$30,"")</f>
        <v>6.1285271128817644E-9</v>
      </c>
      <c r="X60" s="147">
        <f>IF($AD$9=1,CTheOptionFormula($Y$14,BS!$P$6,IF($AB$9=1,$T60,BS!$C$8),IF($AB$9=2,$T60,BS!$C$9),X$39/$AA$5,BS!$P$17,BS!$P$18,BS!$C$13)*$Y$30,"")</f>
        <v>7.8951306394032428E-7</v>
      </c>
      <c r="Y60" s="147">
        <f>IF($AD$9=1,CTheOptionFormula($Y$14,BS!$P$6,IF($AB$9=1,$T60,BS!$C$8),IF($AB$9=2,$T60,BS!$C$9),Y$39/$AA$5,BS!$P$17,BS!$P$18,BS!$C$13)*$Y$30,"")</f>
        <v>9.2286686620152011E-6</v>
      </c>
      <c r="Z60" s="147">
        <f>IF($AD$9=1,CTheOptionFormula($Y$14,BS!$P$6,IF($AB$9=1,$T60,BS!$C$8),IF($AB$9=2,$T60,BS!$C$9),Z$39/$AA$5,BS!$P$17,BS!$P$18,BS!$C$13)*$Y$30,"")</f>
        <v>4.0343787979903498E-5</v>
      </c>
      <c r="AA60" s="147">
        <f>IF($AD$9=1,CTheOptionFormula($Y$14,BS!$P$6,IF($AB$9=1,$T60,BS!$C$8),IF($AB$9=2,$T60,BS!$C$9),AA$39/$AA$5,BS!$P$17,BS!$P$18,BS!$C$13)*$Y$30,"")</f>
        <v>1.0730870114909076E-4</v>
      </c>
      <c r="AB60" s="147">
        <f>IF($AD$9=1,CTheOptionFormula($Y$14,BS!$P$6,IF($AB$9=1,$T60,BS!$C$8),IF($AB$9=2,$T60,BS!$C$9),AB$39/$AA$5,BS!$P$17,BS!$P$18,BS!$C$13)*$Y$30,"")</f>
        <v>2.1463522178105508E-4</v>
      </c>
      <c r="AC60" s="147">
        <f>IF($AD$9=1,CTheOptionFormula($Y$14,BS!$P$6,IF($AB$9=1,$T60,BS!$C$8),IF($AB$9=2,$T60,BS!$C$9),AC$39/$AA$5,BS!$P$17,BS!$P$18,BS!$C$13)*$Y$30,"")</f>
        <v>3.5921539716599326E-4</v>
      </c>
      <c r="AD60" s="147">
        <f>IF($AD$9=1,CTheOptionFormula($Y$14,BS!$P$6,IF($AB$9=1,$T60,BS!$C$8),IF($AB$9=2,$T60,BS!$C$9),AD$39/$AA$5,BS!$P$17,BS!$P$18,BS!$C$13)*$Y$30,"")</f>
        <v>5.3392353487003276E-4</v>
      </c>
      <c r="AE60" s="147">
        <f>IF($AD$9=1,CTheOptionFormula($Y$14,BS!$P$6,IF($AB$9=1,$T60,BS!$C$8),IF($AB$9=2,$T60,BS!$C$9),AE$39/$AA$5,BS!$P$17,BS!$P$18,BS!$C$13)*$Y$30,"")</f>
        <v>7.3052448006993506E-4</v>
      </c>
      <c r="AF60" s="147">
        <f>IF($AD$9=1,CTheOptionFormula($Y$14,BS!$P$6,IF($AB$9=1,$T60,BS!$C$8),IF($AB$9=2,$T60,BS!$C$9),AF$39/$AA$5,BS!$P$17,BS!$P$18,BS!$C$13)*$Y$30,"")</f>
        <v>9.4130273774156541E-4</v>
      </c>
      <c r="AG60" s="147">
        <f>IF($AD$9=1,CTheOptionFormula($Y$14,BS!$P$6,IF($AB$9=1,$T60,BS!$C$8),IF($AB$9=2,$T60,BS!$C$9),AG$39/$AA$5,BS!$P$17,BS!$P$18,BS!$C$13)*$Y$30,"")</f>
        <v>1.1597466694069931E-3</v>
      </c>
      <c r="AH60" s="147">
        <f>IF($AD$9=1,CTheOptionFormula($Y$14,BS!$P$6,IF($AB$9=1,$T60,BS!$C$8),IF($AB$9=2,$T60,BS!$C$9),AH$39/$AA$5,BS!$P$17,BS!$P$18,BS!$C$13)*$Y$30,"")</f>
        <v>1.3806987902867877E-3</v>
      </c>
      <c r="AI60" s="147">
        <f>IF($AD$9=1,CTheOptionFormula($Y$14,BS!$P$6,IF($AB$9=1,$T60,BS!$C$8),IF($AB$9=2,$T60,BS!$C$9),AI$39/$AA$5,BS!$P$17,BS!$P$18,BS!$C$13)*$Y$30,"")</f>
        <v>1.6002542983850352E-3</v>
      </c>
      <c r="AJ60" s="147">
        <f>IF($AD$9=1,CTheOptionFormula($Y$14,BS!$P$6,IF($AB$9=1,$T60,BS!$C$8),IF($AB$9=2,$T60,BS!$C$9),AJ$39/$AA$5,BS!$P$17,BS!$P$18,BS!$C$13)*$Y$30,"")</f>
        <v>1.8155664757869324E-3</v>
      </c>
      <c r="AK60" s="147">
        <f>IF($AD$9=1,CTheOptionFormula($Y$14,BS!$P$6,IF($AB$9=1,$T60,BS!$C$8),IF($AB$9=2,$T60,BS!$C$9),AK$39/$AA$5,BS!$P$17,BS!$P$18,BS!$C$13)*$Y$30,"")</f>
        <v>2.0246375491602066E-3</v>
      </c>
      <c r="AL60" s="147">
        <f>IF($AD$9=1,CTheOptionFormula($Y$14,BS!$P$6,IF($AB$9=1,$T60,BS!$C$8),IF($AB$9=2,$T60,BS!$C$9),AL$39/$AA$5,BS!$P$17,BS!$P$18,BS!$C$13)*$Y$30,"")</f>
        <v>2.2261289635409007E-3</v>
      </c>
      <c r="AM60" s="147">
        <f>IF($AD$9=1,CTheOptionFormula($Y$14,BS!$P$6,IF($AB$9=1,$T60,BS!$C$8),IF($AB$9=2,$T60,BS!$C$9),AM$39/$AA$5,BS!$P$17,BS!$P$18,BS!$C$13)*$Y$30,"")</f>
        <v>2.4192023616543294E-3</v>
      </c>
      <c r="AN60" s="147">
        <f>IF($AD$9=1,CTheOptionFormula($Y$14,BS!$P$6,IF($AB$9=1,$T60,BS!$C$8),IF($AB$9=2,$T60,BS!$C$9),AN$39/$AA$5,BS!$P$17,BS!$P$18,BS!$C$13)*$Y$30,"")</f>
        <v>2.6033920390088451E-3</v>
      </c>
      <c r="AO60" s="148">
        <f>IF($AD$9=1,CTheOptionFormula($Y$14,BS!$P$6,IF($AB$9=1,$T60,BS!$C$8),IF($AB$9=2,$T60,BS!$C$9),AO$39/$AA$5,BS!$P$17,BS!$P$18,BS!$C$13)*$Y$30,"")</f>
        <v>2.7785053694719913E-3</v>
      </c>
      <c r="AQ60" s="133">
        <f t="shared" si="3"/>
        <v>4.1249999999999964</v>
      </c>
      <c r="AR60" s="138">
        <f>IF($AA$9=1,CTheOptionFormula($Y$14,BS!$P$6,IF($AB$9=1,$AQ60,BS!$C$8),IF($AB$9=2,$AQ60,BS!$C$9),$L$13/$AA$5,BS!$P$17,BS!$P$18,BS!$C$13)*$Y$30,"")</f>
        <v>1.2823070963964988E-2</v>
      </c>
    </row>
    <row r="61" spans="2:44">
      <c r="AQ61" s="133">
        <f t="shared" si="3"/>
        <v>4.1687499999999966</v>
      </c>
      <c r="AR61" s="138">
        <f>IF($AA$9=1,CTheOptionFormula($Y$14,BS!$P$6,IF($AB$9=1,$AQ61,BS!$C$8),IF($AB$9=2,$AQ61,BS!$C$9),$L$13/$AA$5,BS!$P$17,BS!$P$18,BS!$C$13)*$Y$30,"")</f>
        <v>1.3263159222333919E-2</v>
      </c>
    </row>
    <row r="62" spans="2:44">
      <c r="AQ62" s="133">
        <f t="shared" si="3"/>
        <v>4.2124999999999968</v>
      </c>
      <c r="AR62" s="138">
        <f>IF($AA$9=1,CTheOptionFormula($Y$14,BS!$P$6,IF($AB$9=1,$AQ62,BS!$C$8),IF($AB$9=2,$AQ62,BS!$C$9),$L$13/$AA$5,BS!$P$17,BS!$P$18,BS!$C$13)*$Y$30,"")</f>
        <v>1.2709631886934048E-2</v>
      </c>
    </row>
    <row r="63" spans="2:44">
      <c r="T63" s="117" t="s">
        <v>233</v>
      </c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Q63" s="133">
        <f t="shared" si="3"/>
        <v>4.256249999999997</v>
      </c>
      <c r="AR63" s="138">
        <f>IF($AA$9=1,CTheOptionFormula($Y$14,BS!$P$6,IF($AB$9=1,$AQ63,BS!$C$8),IF($AB$9=2,$AQ63,BS!$C$9),$L$13/$AA$5,BS!$P$17,BS!$P$18,BS!$C$13)*$Y$30,"")</f>
        <v>1.1441113754195492E-2</v>
      </c>
    </row>
    <row r="64" spans="2:44">
      <c r="T64" s="149"/>
      <c r="U64" s="119" t="s">
        <v>235</v>
      </c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1"/>
      <c r="AL64" s="121"/>
      <c r="AM64" s="122"/>
      <c r="AN64" s="122"/>
      <c r="AO64" s="123"/>
      <c r="AQ64" s="133">
        <f t="shared" si="3"/>
        <v>4.2999999999999972</v>
      </c>
      <c r="AR64" s="138">
        <f>IF($AA$9=1,CTheOptionFormula($Y$14,BS!$P$6,IF($AB$9=1,$AQ64,BS!$C$8),IF($AB$9=2,$AQ64,BS!$C$9),$L$13/$AA$5,BS!$P$17,BS!$P$18,BS!$C$13)*$Y$30,"")</f>
        <v>9.7592894802165202E-3</v>
      </c>
    </row>
    <row r="65" spans="20:44">
      <c r="T65" s="125" t="s">
        <v>236</v>
      </c>
      <c r="U65" s="150">
        <f>D50</f>
        <v>0.1</v>
      </c>
      <c r="V65" s="150">
        <f>U65+($D$51-$D$50)/20</f>
        <v>0.11</v>
      </c>
      <c r="W65" s="150">
        <f t="shared" ref="W65:AO65" si="4">V65+($D$51-$D$50)/20</f>
        <v>0.12</v>
      </c>
      <c r="X65" s="150">
        <f t="shared" si="4"/>
        <v>0.13</v>
      </c>
      <c r="Y65" s="150">
        <f t="shared" si="4"/>
        <v>0.14000000000000001</v>
      </c>
      <c r="Z65" s="150">
        <f t="shared" si="4"/>
        <v>0.15000000000000002</v>
      </c>
      <c r="AA65" s="150">
        <f t="shared" si="4"/>
        <v>0.16000000000000003</v>
      </c>
      <c r="AB65" s="150">
        <f t="shared" si="4"/>
        <v>0.17000000000000004</v>
      </c>
      <c r="AC65" s="150">
        <f t="shared" si="4"/>
        <v>0.18000000000000005</v>
      </c>
      <c r="AD65" s="150">
        <f t="shared" si="4"/>
        <v>0.19000000000000006</v>
      </c>
      <c r="AE65" s="150">
        <f t="shared" si="4"/>
        <v>0.20000000000000007</v>
      </c>
      <c r="AF65" s="150">
        <f t="shared" si="4"/>
        <v>0.21000000000000008</v>
      </c>
      <c r="AG65" s="150">
        <f t="shared" si="4"/>
        <v>0.22000000000000008</v>
      </c>
      <c r="AH65" s="150">
        <f t="shared" si="4"/>
        <v>0.23000000000000009</v>
      </c>
      <c r="AI65" s="150">
        <f t="shared" si="4"/>
        <v>0.2400000000000001</v>
      </c>
      <c r="AJ65" s="150">
        <f t="shared" si="4"/>
        <v>0.25000000000000011</v>
      </c>
      <c r="AK65" s="150">
        <f t="shared" si="4"/>
        <v>0.26000000000000012</v>
      </c>
      <c r="AL65" s="150">
        <f t="shared" si="4"/>
        <v>0.27000000000000013</v>
      </c>
      <c r="AM65" s="150">
        <f t="shared" si="4"/>
        <v>0.28000000000000014</v>
      </c>
      <c r="AN65" s="150">
        <f t="shared" si="4"/>
        <v>0.29000000000000015</v>
      </c>
      <c r="AO65" s="151">
        <f t="shared" si="4"/>
        <v>0.30000000000000016</v>
      </c>
      <c r="AQ65" s="133">
        <f t="shared" si="3"/>
        <v>4.3437499999999973</v>
      </c>
      <c r="AR65" s="138">
        <f>IF($AA$9=1,CTheOptionFormula($Y$14,BS!$P$6,IF($AB$9=1,$AQ65,BS!$C$8),IF($AB$9=2,$AQ65,BS!$C$9),$L$13/$AA$5,BS!$P$17,BS!$P$18,BS!$C$13)*$Y$30,"")</f>
        <v>7.9351904517274228E-3</v>
      </c>
    </row>
    <row r="66" spans="20:44">
      <c r="T66" s="152">
        <f>T40</f>
        <v>3.2499999999999969</v>
      </c>
      <c r="U66" s="130">
        <f>IF($AD$9=1,CTheOptionFormula($Y$14,BS!$P$6,IF($AB$9=1,$T40,BS!$C$8),IF($AB$9=2,$T40,BS!$C$9),$G$49/365,BS!$P$17,BS!$P$18,U$65)*$Y$30,"")</f>
        <v>-1.3803055152212841E-2</v>
      </c>
      <c r="V66" s="131">
        <f>IF($AD$9=1,CTheOptionFormula($Y$14,BS!$P$6,IF($AB$9=1,$T40,BS!$C$8),IF($AB$9=2,$T40,BS!$C$9),$G$49/365,BS!$P$17,BS!$P$18,V$65)*$Y$30,"")</f>
        <v>-1.5862647596005721E-2</v>
      </c>
      <c r="W66" s="131">
        <f>IF($AD$9=1,CTheOptionFormula($Y$14,BS!$P$6,IF($AB$9=1,$T40,BS!$C$8),IF($AB$9=2,$T40,BS!$C$9),$G$49/365,BS!$P$17,BS!$P$18,W$65)*$Y$30,"")</f>
        <v>-1.7148233168754898E-2</v>
      </c>
      <c r="X66" s="131">
        <f>IF($AD$9=1,CTheOptionFormula($Y$14,BS!$P$6,IF($AB$9=1,$T40,BS!$C$8),IF($AB$9=2,$T40,BS!$C$9),$G$49/365,BS!$P$17,BS!$P$18,X$65)*$Y$30,"")</f>
        <v>-1.7797894900914331E-2</v>
      </c>
      <c r="Y66" s="131">
        <f>IF($AD$9=1,CTheOptionFormula($Y$14,BS!$P$6,IF($AB$9=1,$T40,BS!$C$8),IF($AB$9=2,$T40,BS!$C$9),$G$49/365,BS!$P$17,BS!$P$18,Y$65)*$Y$30,"")</f>
        <v>-1.7967924307898866E-2</v>
      </c>
      <c r="Z66" s="131">
        <f>IF($AD$9=1,CTheOptionFormula($Y$14,BS!$P$6,IF($AB$9=1,$T40,BS!$C$8),IF($AB$9=2,$T40,BS!$C$9),$G$49/365,BS!$P$17,BS!$P$18,Z$65)*$Y$30,"")</f>
        <v>-1.7797219851566324E-2</v>
      </c>
      <c r="AA66" s="131">
        <f>IF($AD$9=1,CTheOptionFormula($Y$14,BS!$P$6,IF($AB$9=1,$T40,BS!$C$8),IF($AB$9=2,$T40,BS!$C$9),$G$49/365,BS!$P$17,BS!$P$18,AA$65)*$Y$30,"")</f>
        <v>-1.7396665063125715E-2</v>
      </c>
      <c r="AB66" s="131">
        <f>IF($AD$9=1,CTheOptionFormula($Y$14,BS!$P$6,IF($AB$9=1,$T40,BS!$C$8),IF($AB$9=2,$T40,BS!$C$9),$G$49/365,BS!$P$17,BS!$P$18,AB$65)*$Y$30,"")</f>
        <v>-1.684966706329272E-2</v>
      </c>
      <c r="AC66" s="131">
        <f>IF($AD$9=1,CTheOptionFormula($Y$14,BS!$P$6,IF($AB$9=1,$T40,BS!$C$8),IF($AB$9=2,$T40,BS!$C$9),$G$49/365,BS!$P$17,BS!$P$18,AC$65)*$Y$30,"")</f>
        <v>-1.6216627449889873E-2</v>
      </c>
      <c r="AD66" s="131">
        <f>IF($AD$9=1,CTheOptionFormula($Y$14,BS!$P$6,IF($AB$9=1,$T40,BS!$C$8),IF($AB$9=2,$T40,BS!$C$9),$G$49/365,BS!$P$17,BS!$P$18,AD$65)*$Y$30,"")</f>
        <v>-1.5540085071387018E-2</v>
      </c>
      <c r="AE66" s="131">
        <f>IF($AD$9=1,CTheOptionFormula($Y$14,BS!$P$6,IF($AB$9=1,$T40,BS!$C$8),IF($AB$9=2,$T40,BS!$C$9),$G$49/365,BS!$P$17,BS!$P$18,AE$65)*$Y$30,"")</f>
        <v>-1.4849282464080057E-2</v>
      </c>
      <c r="AF66" s="131">
        <f>IF($AD$9=1,CTheOptionFormula($Y$14,BS!$P$6,IF($AB$9=1,$T40,BS!$C$8),IF($AB$9=2,$T40,BS!$C$9),$G$49/365,BS!$P$17,BS!$P$18,AF$65)*$Y$30,"")</f>
        <v>-1.4163820030010814E-2</v>
      </c>
      <c r="AG66" s="131">
        <f>IF($AD$9=1,CTheOptionFormula($Y$14,BS!$P$6,IF($AB$9=1,$T40,BS!$C$8),IF($AB$9=2,$T40,BS!$C$9),$G$49/365,BS!$P$17,BS!$P$18,AG$65)*$Y$30,"")</f>
        <v>-1.3496428904896078E-2</v>
      </c>
      <c r="AH66" s="131">
        <f>IF($AD$9=1,CTheOptionFormula($Y$14,BS!$P$6,IF($AB$9=1,$T40,BS!$C$8),IF($AB$9=2,$T40,BS!$C$9),$G$49/365,BS!$P$17,BS!$P$18,AH$65)*$Y$30,"")</f>
        <v>-1.2855012263955303E-2</v>
      </c>
      <c r="AI66" s="131">
        <f>IF($AD$9=1,CTheOptionFormula($Y$14,BS!$P$6,IF($AB$9=1,$T40,BS!$C$8),IF($AB$9=2,$T40,BS!$C$9),$G$49/365,BS!$P$17,BS!$P$18,AI$65)*$Y$30,"")</f>
        <v>-1.2244120567681704E-2</v>
      </c>
      <c r="AJ66" s="131">
        <f>IF($AD$9=1,CTheOptionFormula($Y$14,BS!$P$6,IF($AB$9=1,$T40,BS!$C$8),IF($AB$9=2,$T40,BS!$C$9),$G$49/365,BS!$P$17,BS!$P$18,AJ$65)*$Y$30,"")</f>
        <v>-1.1666005083636575E-2</v>
      </c>
      <c r="AK66" s="131">
        <f>IF($AD$9=1,CTheOptionFormula($Y$14,BS!$P$6,IF($AB$9=1,$T40,BS!$C$8),IF($AB$9=2,$T40,BS!$C$9),$G$49/365,BS!$P$17,BS!$P$18,AK$65)*$Y$30,"")</f>
        <v>-1.1121364037583938E-2</v>
      </c>
      <c r="AL66" s="131">
        <f>IF($AD$9=1,CTheOptionFormula($Y$14,BS!$P$6,IF($AB$9=1,$T40,BS!$C$8),IF($AB$9=2,$T40,BS!$C$9),$G$49/365,BS!$P$17,BS!$P$18,AL$65)*$Y$30,"")</f>
        <v>-1.060986767852768E-2</v>
      </c>
      <c r="AM66" s="131">
        <f>IF($AD$9=1,CTheOptionFormula($Y$14,BS!$P$6,IF($AB$9=1,$T40,BS!$C$8),IF($AB$9=2,$T40,BS!$C$9),$G$49/365,BS!$P$17,BS!$P$18,AM$65)*$Y$30,"")</f>
        <v>-1.0130525607515211E-2</v>
      </c>
      <c r="AN66" s="131">
        <f>IF($AD$9=1,CTheOptionFormula($Y$14,BS!$P$6,IF($AB$9=1,$T40,BS!$C$8),IF($AB$9=2,$T40,BS!$C$9),$G$49/365,BS!$P$17,BS!$P$18,AN$65)*$Y$30,"")</f>
        <v>-9.6819421439282623E-3</v>
      </c>
      <c r="AO66" s="132">
        <f>IF($AD$9=1,CTheOptionFormula($Y$14,BS!$P$6,IF($AB$9=1,$T40,BS!$C$8),IF($AB$9=2,$T40,BS!$C$9),$G$49/365,BS!$P$17,BS!$P$18,AO$65)*$Y$30,"")</f>
        <v>-9.2624924925304303E-3</v>
      </c>
      <c r="AQ66" s="133">
        <f t="shared" si="3"/>
        <v>4.3874999999999975</v>
      </c>
      <c r="AR66" s="138">
        <f>IF($AA$9=1,CTheOptionFormula($Y$14,BS!$P$6,IF($AB$9=1,$AQ66,BS!$C$8),IF($AB$9=2,$AQ66,BS!$C$9),$L$13/$AA$5,BS!$P$17,BS!$P$18,BS!$C$13)*$Y$30,"")</f>
        <v>6.1768686919674133E-3</v>
      </c>
    </row>
    <row r="67" spans="20:44">
      <c r="T67" s="152">
        <f t="shared" ref="T67:T86" si="5">T41</f>
        <v>3.3374999999999968</v>
      </c>
      <c r="U67" s="135">
        <f>IF($AD$9=1,CTheOptionFormula($Y$14,BS!$P$6,IF($AB$9=1,$T41,BS!$C$8),IF($AB$9=2,$T41,BS!$C$9),$G$49/365,BS!$P$17,BS!$P$18,U$65)*$Y$30,"")</f>
        <v>-2.134072251868405E-2</v>
      </c>
      <c r="V67" s="136">
        <f>IF($AD$9=1,CTheOptionFormula($Y$14,BS!$P$6,IF($AB$9=1,$T41,BS!$C$8),IF($AB$9=2,$T41,BS!$C$9),$G$49/365,BS!$P$17,BS!$P$18,V$65)*$Y$30,"")</f>
        <v>-2.188314141448543E-2</v>
      </c>
      <c r="W67" s="136">
        <f>IF($AD$9=1,CTheOptionFormula($Y$14,BS!$P$6,IF($AB$9=1,$T41,BS!$C$8),IF($AB$9=2,$T41,BS!$C$9),$G$49/365,BS!$P$17,BS!$P$18,W$65)*$Y$30,"")</f>
        <v>-2.1698475417691876E-2</v>
      </c>
      <c r="X67" s="136">
        <f>IF($AD$9=1,CTheOptionFormula($Y$14,BS!$P$6,IF($AB$9=1,$T41,BS!$C$8),IF($AB$9=2,$T41,BS!$C$9),$G$49/365,BS!$P$17,BS!$P$18,X$65)*$Y$30,"")</f>
        <v>-2.1062020853755213E-2</v>
      </c>
      <c r="Y67" s="136">
        <f>IF($AD$9=1,CTheOptionFormula($Y$14,BS!$P$6,IF($AB$9=1,$T41,BS!$C$8),IF($AB$9=2,$T41,BS!$C$9),$G$49/365,BS!$P$17,BS!$P$18,Y$65)*$Y$30,"")</f>
        <v>-2.016879226329818E-2</v>
      </c>
      <c r="Z67" s="136">
        <f>IF($AD$9=1,CTheOptionFormula($Y$14,BS!$P$6,IF($AB$9=1,$T41,BS!$C$8),IF($AB$9=2,$T41,BS!$C$9),$G$49/365,BS!$P$17,BS!$P$18,Z$65)*$Y$30,"")</f>
        <v>-1.9148825811145749E-2</v>
      </c>
      <c r="AA67" s="136">
        <f>IF($AD$9=1,CTheOptionFormula($Y$14,BS!$P$6,IF($AB$9=1,$T41,BS!$C$8),IF($AB$9=2,$T41,BS!$C$9),$G$49/365,BS!$P$17,BS!$P$18,AA$65)*$Y$30,"")</f>
        <v>-1.8085255238712555E-2</v>
      </c>
      <c r="AB67" s="136">
        <f>IF($AD$9=1,CTheOptionFormula($Y$14,BS!$P$6,IF($AB$9=1,$T41,BS!$C$8),IF($AB$9=2,$T41,BS!$C$9),$G$49/365,BS!$P$17,BS!$P$18,AB$65)*$Y$30,"")</f>
        <v>-1.7029226714772475E-2</v>
      </c>
      <c r="AC67" s="136">
        <f>IF($AD$9=1,CTheOptionFormula($Y$14,BS!$P$6,IF($AB$9=1,$T41,BS!$C$8),IF($AB$9=2,$T41,BS!$C$9),$G$49/365,BS!$P$17,BS!$P$18,AC$65)*$Y$30,"")</f>
        <v>-1.6010774756009212E-2</v>
      </c>
      <c r="AD67" s="136">
        <f>IF($AD$9=1,CTheOptionFormula($Y$14,BS!$P$6,IF($AB$9=1,$T41,BS!$C$8),IF($AB$9=2,$T41,BS!$C$9),$G$49/365,BS!$P$17,BS!$P$18,AD$65)*$Y$30,"")</f>
        <v>-1.5046308788497911E-2</v>
      </c>
      <c r="AE67" s="136">
        <f>IF($AD$9=1,CTheOptionFormula($Y$14,BS!$P$6,IF($AB$9=1,$T41,BS!$C$8),IF($AB$9=2,$T41,BS!$C$9),$G$49/365,BS!$P$17,BS!$P$18,AE$65)*$Y$30,"")</f>
        <v>-1.4143611443605104E-2</v>
      </c>
      <c r="AF67" s="136">
        <f>IF($AD$9=1,CTheOptionFormula($Y$14,BS!$P$6,IF($AB$9=1,$T41,BS!$C$8),IF($AB$9=2,$T41,BS!$C$9),$G$49/365,BS!$P$17,BS!$P$18,AF$65)*$Y$30,"")</f>
        <v>-1.3305116700904195E-2</v>
      </c>
      <c r="AG67" s="136">
        <f>IF($AD$9=1,CTheOptionFormula($Y$14,BS!$P$6,IF($AB$9=1,$T41,BS!$C$8),IF($AB$9=2,$T41,BS!$C$9),$G$49/365,BS!$P$17,BS!$P$18,AG$65)*$Y$30,"")</f>
        <v>-1.2530034715908758E-2</v>
      </c>
      <c r="AH67" s="136">
        <f>IF($AD$9=1,CTheOptionFormula($Y$14,BS!$P$6,IF($AB$9=1,$T41,BS!$C$8),IF($AB$9=2,$T41,BS!$C$9),$G$49/365,BS!$P$17,BS!$P$18,AH$65)*$Y$30,"")</f>
        <v>-1.1815716009464617E-2</v>
      </c>
      <c r="AI67" s="136">
        <f>IF($AD$9=1,CTheOptionFormula($Y$14,BS!$P$6,IF($AB$9=1,$T41,BS!$C$8),IF($AB$9=2,$T41,BS!$C$9),$G$49/365,BS!$P$17,BS!$P$18,AI$65)*$Y$30,"")</f>
        <v>-1.1158518600692629E-2</v>
      </c>
      <c r="AJ67" s="136">
        <f>IF($AD$9=1,CTheOptionFormula($Y$14,BS!$P$6,IF($AB$9=1,$T41,BS!$C$8),IF($AB$9=2,$T41,BS!$C$9),$G$49/365,BS!$P$17,BS!$P$18,AJ$65)*$Y$30,"")</f>
        <v>-1.0554352138490139E-2</v>
      </c>
      <c r="AK67" s="136">
        <f>IF($AD$9=1,CTheOptionFormula($Y$14,BS!$P$6,IF($AB$9=1,$T41,BS!$C$8),IF($AB$9=2,$T41,BS!$C$9),$G$49/365,BS!$P$17,BS!$P$18,AK$65)*$Y$30,"")</f>
        <v>-9.9990130082229251E-3</v>
      </c>
      <c r="AL67" s="136">
        <f>IF($AD$9=1,CTheOptionFormula($Y$14,BS!$P$6,IF($AB$9=1,$T41,BS!$C$8),IF($AB$9=2,$T41,BS!$C$9),$G$49/365,BS!$P$17,BS!$P$18,AL$65)*$Y$30,"")</f>
        <v>-9.4883847468091205E-3</v>
      </c>
      <c r="AM67" s="136">
        <f>IF($AD$9=1,CTheOptionFormula($Y$14,BS!$P$6,IF($AB$9=1,$T41,BS!$C$8),IF($AB$9=2,$T41,BS!$C$9),$G$49/365,BS!$P$17,BS!$P$18,AM$65)*$Y$30,"")</f>
        <v>-9.0185521565567667E-3</v>
      </c>
      <c r="AN67" s="136">
        <f>IF($AD$9=1,CTheOptionFormula($Y$14,BS!$P$6,IF($AB$9=1,$T41,BS!$C$8),IF($AB$9=2,$T41,BS!$C$9),$G$49/365,BS!$P$17,BS!$P$18,AN$65)*$Y$30,"")</f>
        <v>-8.5858605907914581E-3</v>
      </c>
      <c r="AO67" s="137">
        <f>IF($AD$9=1,CTheOptionFormula($Y$14,BS!$P$6,IF($AB$9=1,$T41,BS!$C$8),IF($AB$9=2,$T41,BS!$C$9),$G$49/365,BS!$P$17,BS!$P$18,AO$65)*$Y$30,"")</f>
        <v>-8.1869408618401238E-3</v>
      </c>
      <c r="AQ67" s="133">
        <f t="shared" si="3"/>
        <v>4.4312499999999977</v>
      </c>
      <c r="AR67" s="138">
        <f>IF($AA$9=1,CTheOptionFormula($Y$14,BS!$P$6,IF($AB$9=1,$AQ67,BS!$C$8),IF($AB$9=2,$AQ67,BS!$C$9),$L$13/$AA$5,BS!$P$17,BS!$P$18,BS!$C$13)*$Y$30,"")</f>
        <v>4.6185047927380556E-3</v>
      </c>
    </row>
    <row r="68" spans="20:44">
      <c r="T68" s="152">
        <f t="shared" si="5"/>
        <v>3.4249999999999967</v>
      </c>
      <c r="U68" s="135">
        <f>IF($AD$9=1,CTheOptionFormula($Y$14,BS!$P$6,IF($AB$9=1,$T42,BS!$C$8),IF($AB$9=2,$T42,BS!$C$9),$G$49/365,BS!$P$17,BS!$P$18,U$65)*$Y$30,"")</f>
        <v>-2.6898777608480237E-2</v>
      </c>
      <c r="V68" s="136">
        <f>IF($AD$9=1,CTheOptionFormula($Y$14,BS!$P$6,IF($AB$9=1,$T42,BS!$C$8),IF($AB$9=2,$T42,BS!$C$9),$G$49/365,BS!$P$17,BS!$P$18,V$65)*$Y$30,"")</f>
        <v>-2.5293751673911114E-2</v>
      </c>
      <c r="W68" s="136">
        <f>IF($AD$9=1,CTheOptionFormula($Y$14,BS!$P$6,IF($AB$9=1,$T42,BS!$C$8),IF($AB$9=2,$T42,BS!$C$9),$G$49/365,BS!$P$17,BS!$P$18,W$65)*$Y$30,"")</f>
        <v>-2.3491638977499289E-2</v>
      </c>
      <c r="X68" s="136">
        <f>IF($AD$9=1,CTheOptionFormula($Y$14,BS!$P$6,IF($AB$9=1,$T42,BS!$C$8),IF($AB$9=2,$T42,BS!$C$9),$G$49/365,BS!$P$17,BS!$P$18,X$65)*$Y$30,"")</f>
        <v>-2.1679997687672557E-2</v>
      </c>
      <c r="Y68" s="136">
        <f>IF($AD$9=1,CTheOptionFormula($Y$14,BS!$P$6,IF($AB$9=1,$T42,BS!$C$8),IF($AB$9=2,$T42,BS!$C$9),$G$49/365,BS!$P$17,BS!$P$18,Y$65)*$Y$30,"")</f>
        <v>-1.9954120410401066E-2</v>
      </c>
      <c r="Z68" s="136">
        <f>IF($AD$9=1,CTheOptionFormula($Y$14,BS!$P$6,IF($AB$9=1,$T42,BS!$C$8),IF($AB$9=2,$T42,BS!$C$9),$G$49/365,BS!$P$17,BS!$P$18,Z$65)*$Y$30,"")</f>
        <v>-1.8356987126100292E-2</v>
      </c>
      <c r="AA68" s="136">
        <f>IF($AD$9=1,CTheOptionFormula($Y$14,BS!$P$6,IF($AB$9=1,$T42,BS!$C$8),IF($AB$9=2,$T42,BS!$C$9),$G$49/365,BS!$P$17,BS!$P$18,AA$65)*$Y$30,"")</f>
        <v>-1.6902928071860716E-2</v>
      </c>
      <c r="AB68" s="136">
        <f>IF($AD$9=1,CTheOptionFormula($Y$14,BS!$P$6,IF($AB$9=1,$T42,BS!$C$8),IF($AB$9=2,$T42,BS!$C$9),$G$49/365,BS!$P$17,BS!$P$18,AB$65)*$Y$30,"")</f>
        <v>-1.5591199398362517E-2</v>
      </c>
      <c r="AC68" s="136">
        <f>IF($AD$9=1,CTheOptionFormula($Y$14,BS!$P$6,IF($AB$9=1,$T42,BS!$C$8),IF($AB$9=2,$T42,BS!$C$9),$G$49/365,BS!$P$17,BS!$P$18,AC$65)*$Y$30,"")</f>
        <v>-1.441362179038813E-2</v>
      </c>
      <c r="AD68" s="136">
        <f>IF($AD$9=1,CTheOptionFormula($Y$14,BS!$P$6,IF($AB$9=1,$T42,BS!$C$8),IF($AB$9=2,$T42,BS!$C$9),$G$49/365,BS!$P$17,BS!$P$18,AD$65)*$Y$30,"")</f>
        <v>-1.3358803874455672E-2</v>
      </c>
      <c r="AE68" s="136">
        <f>IF($AD$9=1,CTheOptionFormula($Y$14,BS!$P$6,IF($AB$9=1,$T42,BS!$C$8),IF($AB$9=2,$T42,BS!$C$9),$G$49/365,BS!$P$17,BS!$P$18,AE$65)*$Y$30,"")</f>
        <v>-1.2414423496944143E-2</v>
      </c>
      <c r="AF68" s="136">
        <f>IF($AD$9=1,CTheOptionFormula($Y$14,BS!$P$6,IF($AB$9=1,$T42,BS!$C$8),IF($AB$9=2,$T42,BS!$C$9),$G$49/365,BS!$P$17,BS!$P$18,AF$65)*$Y$30,"")</f>
        <v>-1.1568413119289547E-2</v>
      </c>
      <c r="AG68" s="136">
        <f>IF($AD$9=1,CTheOptionFormula($Y$14,BS!$P$6,IF($AB$9=1,$T42,BS!$C$8),IF($AB$9=2,$T42,BS!$C$9),$G$49/365,BS!$P$17,BS!$P$18,AG$65)*$Y$30,"")</f>
        <v>-1.0809532258262098E-2</v>
      </c>
      <c r="AH68" s="136">
        <f>IF($AD$9=1,CTheOptionFormula($Y$14,BS!$P$6,IF($AB$9=1,$T42,BS!$C$8),IF($AB$9=2,$T42,BS!$C$9),$G$49/365,BS!$P$17,BS!$P$18,AH$65)*$Y$30,"")</f>
        <v>-1.0127601845288367E-2</v>
      </c>
      <c r="AI68" s="136">
        <f>IF($AD$9=1,CTheOptionFormula($Y$14,BS!$P$6,IF($AB$9=1,$T42,BS!$C$8),IF($AB$9=2,$T42,BS!$C$9),$G$49/365,BS!$P$17,BS!$P$18,AI$65)*$Y$30,"")</f>
        <v>-9.5135566410334306E-3</v>
      </c>
      <c r="AJ68" s="136">
        <f>IF($AD$9=1,CTheOptionFormula($Y$14,BS!$P$6,IF($AB$9=1,$T42,BS!$C$8),IF($AB$9=2,$T42,BS!$C$9),$G$49/365,BS!$P$17,BS!$P$18,AJ$65)*$Y$30,"")</f>
        <v>-8.9594040452261377E-3</v>
      </c>
      <c r="AK68" s="136">
        <f>IF($AD$9=1,CTheOptionFormula($Y$14,BS!$P$6,IF($AB$9=1,$T42,BS!$C$8),IF($AB$9=2,$T42,BS!$C$9),$G$49/365,BS!$P$17,BS!$P$18,AK$65)*$Y$30,"")</f>
        <v>-8.4581388682308748E-3</v>
      </c>
      <c r="AL68" s="136">
        <f>IF($AD$9=1,CTheOptionFormula($Y$14,BS!$P$6,IF($AB$9=1,$T42,BS!$C$8),IF($AB$9=2,$T42,BS!$C$9),$G$49/365,BS!$P$17,BS!$P$18,AL$65)*$Y$30,"")</f>
        <v>-8.0036414331814288E-3</v>
      </c>
      <c r="AM68" s="136">
        <f>IF($AD$9=1,CTheOptionFormula($Y$14,BS!$P$6,IF($AB$9=1,$T42,BS!$C$8),IF($AB$9=2,$T42,BS!$C$9),$G$49/365,BS!$P$17,BS!$P$18,AM$65)*$Y$30,"")</f>
        <v>-7.5905736830178538E-3</v>
      </c>
      <c r="AN68" s="136">
        <f>IF($AD$9=1,CTheOptionFormula($Y$14,BS!$P$6,IF($AB$9=1,$T42,BS!$C$8),IF($AB$9=2,$T42,BS!$C$9),$G$49/365,BS!$P$17,BS!$P$18,AN$65)*$Y$30,"")</f>
        <v>-7.2142807413675429E-3</v>
      </c>
      <c r="AO68" s="137">
        <f>IF($AD$9=1,CTheOptionFormula($Y$14,BS!$P$6,IF($AB$9=1,$T42,BS!$C$8),IF($AB$9=2,$T42,BS!$C$9),$G$49/365,BS!$P$17,BS!$P$18,AO$65)*$Y$30,"")</f>
        <v>-6.870701306844201E-3</v>
      </c>
      <c r="AQ68" s="133">
        <f t="shared" si="3"/>
        <v>4.4749999999999979</v>
      </c>
      <c r="AR68" s="138">
        <f>IF($AA$9=1,CTheOptionFormula($Y$14,BS!$P$6,IF($AB$9=1,$AQ68,BS!$C$8),IF($AB$9=2,$AQ68,BS!$C$9),$L$13/$AA$5,BS!$P$17,BS!$P$18,BS!$C$13)*$Y$30,"")</f>
        <v>3.3259866188425245E-3</v>
      </c>
    </row>
    <row r="69" spans="20:44">
      <c r="T69" s="152">
        <f t="shared" si="5"/>
        <v>3.5124999999999966</v>
      </c>
      <c r="U69" s="135">
        <f>IF($AD$9=1,CTheOptionFormula($Y$14,BS!$P$6,IF($AB$9=1,$T43,BS!$C$8),IF($AB$9=2,$T43,BS!$C$9),$G$49/365,BS!$P$17,BS!$P$18,U$65)*$Y$30,"")</f>
        <v>-2.7019769068949106E-2</v>
      </c>
      <c r="V69" s="136">
        <f>IF($AD$9=1,CTheOptionFormula($Y$14,BS!$P$6,IF($AB$9=1,$T43,BS!$C$8),IF($AB$9=2,$T43,BS!$C$9),$G$49/365,BS!$P$17,BS!$P$18,V$65)*$Y$30,"")</f>
        <v>-2.391290048265372E-2</v>
      </c>
      <c r="W69" s="136">
        <f>IF($AD$9=1,CTheOptionFormula($Y$14,BS!$P$6,IF($AB$9=1,$T43,BS!$C$8),IF($AB$9=2,$T43,BS!$C$9),$G$49/365,BS!$P$17,BS!$P$18,W$65)*$Y$30,"")</f>
        <v>-2.1224997083515672E-2</v>
      </c>
      <c r="X69" s="136">
        <f>IF($AD$9=1,CTheOptionFormula($Y$14,BS!$P$6,IF($AB$9=1,$T43,BS!$C$8),IF($AB$9=2,$T43,BS!$C$9),$G$49/365,BS!$P$17,BS!$P$18,X$65)*$Y$30,"")</f>
        <v>-1.8923926526491712E-2</v>
      </c>
      <c r="Y69" s="136">
        <f>IF($AD$9=1,CTheOptionFormula($Y$14,BS!$P$6,IF($AB$9=1,$T43,BS!$C$8),IF($AB$9=2,$T43,BS!$C$9),$G$49/365,BS!$P$17,BS!$P$18,Y$65)*$Y$30,"")</f>
        <v>-1.6960087378081259E-2</v>
      </c>
      <c r="Z69" s="136">
        <f>IF($AD$9=1,CTheOptionFormula($Y$14,BS!$P$6,IF($AB$9=1,$T43,BS!$C$8),IF($AB$9=2,$T43,BS!$C$9),$G$49/365,BS!$P$17,BS!$P$18,Z$65)*$Y$30,"")</f>
        <v>-1.5282652309820817E-2</v>
      </c>
      <c r="AA69" s="136">
        <f>IF($AD$9=1,CTheOptionFormula($Y$14,BS!$P$6,IF($AB$9=1,$T43,BS!$C$8),IF($AB$9=2,$T43,BS!$C$9),$G$49/365,BS!$P$17,BS!$P$18,AA$65)*$Y$30,"")</f>
        <v>-1.3845633090769811E-2</v>
      </c>
      <c r="AB69" s="136">
        <f>IF($AD$9=1,CTheOptionFormula($Y$14,BS!$P$6,IF($AB$9=1,$T43,BS!$C$8),IF($AB$9=2,$T43,BS!$C$9),$G$49/365,BS!$P$17,BS!$P$18,AB$65)*$Y$30,"")</f>
        <v>-1.2609579022139789E-2</v>
      </c>
      <c r="AC69" s="136">
        <f>IF($AD$9=1,CTheOptionFormula($Y$14,BS!$P$6,IF($AB$9=1,$T43,BS!$C$8),IF($AB$9=2,$T43,BS!$C$9),$G$49/365,BS!$P$17,BS!$P$18,AC$65)*$Y$30,"")</f>
        <v>-1.1541492955555892E-2</v>
      </c>
      <c r="AD69" s="136">
        <f>IF($AD$9=1,CTheOptionFormula($Y$14,BS!$P$6,IF($AB$9=1,$T43,BS!$C$8),IF($AB$9=2,$T43,BS!$C$9),$G$49/365,BS!$P$17,BS!$P$18,AD$65)*$Y$30,"")</f>
        <v>-1.061410255968678E-2</v>
      </c>
      <c r="AE69" s="136">
        <f>IF($AD$9=1,CTheOptionFormula($Y$14,BS!$P$6,IF($AB$9=1,$T43,BS!$C$8),IF($AB$9=2,$T43,BS!$C$9),$G$49/365,BS!$P$17,BS!$P$18,AE$65)*$Y$30,"")</f>
        <v>-9.8049751457513438E-3</v>
      </c>
      <c r="AF69" s="136">
        <f>IF($AD$9=1,CTheOptionFormula($Y$14,BS!$P$6,IF($AB$9=1,$T43,BS!$C$8),IF($AB$9=2,$T43,BS!$C$9),$G$49/365,BS!$P$17,BS!$P$18,AF$65)*$Y$30,"")</f>
        <v>-9.0956732635121343E-3</v>
      </c>
      <c r="AG69" s="136">
        <f>IF($AD$9=1,CTheOptionFormula($Y$14,BS!$P$6,IF($AB$9=1,$T43,BS!$C$8),IF($AB$9=2,$T43,BS!$C$9),$G$49/365,BS!$P$17,BS!$P$18,AG$65)*$Y$30,"")</f>
        <v>-8.4710192970325286E-3</v>
      </c>
      <c r="AH69" s="136">
        <f>IF($AD$9=1,CTheOptionFormula($Y$14,BS!$P$6,IF($AB$9=1,$T43,BS!$C$8),IF($AB$9=2,$T43,BS!$C$9),$G$49/365,BS!$P$17,BS!$P$18,AH$65)*$Y$30,"")</f>
        <v>-7.9184819625436904E-3</v>
      </c>
      <c r="AI69" s="136">
        <f>IF($AD$9=1,CTheOptionFormula($Y$14,BS!$P$6,IF($AB$9=1,$T43,BS!$C$8),IF($AB$9=2,$T43,BS!$C$9),$G$49/365,BS!$P$17,BS!$P$18,AI$65)*$Y$30,"")</f>
        <v>-7.4276756357379882E-3</v>
      </c>
      <c r="AJ69" s="136">
        <f>IF($AD$9=1,CTheOptionFormula($Y$14,BS!$P$6,IF($AB$9=1,$T43,BS!$C$8),IF($AB$9=2,$T43,BS!$C$9),$G$49/365,BS!$P$17,BS!$P$18,AJ$65)*$Y$30,"")</f>
        <v>-6.9899563111348421E-3</v>
      </c>
      <c r="AK69" s="136">
        <f>IF($AD$9=1,CTheOptionFormula($Y$14,BS!$P$6,IF($AB$9=1,$T43,BS!$C$8),IF($AB$9=2,$T43,BS!$C$9),$G$49/365,BS!$P$17,BS!$P$18,AK$65)*$Y$30,"")</f>
        <v>-6.5980972121881835E-3</v>
      </c>
      <c r="AL69" s="136">
        <f>IF($AD$9=1,CTheOptionFormula($Y$14,BS!$P$6,IF($AB$9=1,$T43,BS!$C$8),IF($AB$9=2,$T43,BS!$C$9),$G$49/365,BS!$P$17,BS!$P$18,AL$65)*$Y$30,"")</f>
        <v>-6.2460287425745963E-3</v>
      </c>
      <c r="AM69" s="136">
        <f>IF($AD$9=1,CTheOptionFormula($Y$14,BS!$P$6,IF($AB$9=1,$T43,BS!$C$8),IF($AB$9=2,$T43,BS!$C$9),$G$49/365,BS!$P$17,BS!$P$18,AM$65)*$Y$30,"")</f>
        <v>-5.9286298638531942E-3</v>
      </c>
      <c r="AN69" s="136">
        <f>IF($AD$9=1,CTheOptionFormula($Y$14,BS!$P$6,IF($AB$9=1,$T43,BS!$C$8),IF($AB$9=2,$T43,BS!$C$9),$G$49/365,BS!$P$17,BS!$P$18,AN$65)*$Y$30,"")</f>
        <v>-5.6415603697180568E-3</v>
      </c>
      <c r="AO69" s="137">
        <f>IF($AD$9=1,CTheOptionFormula($Y$14,BS!$P$6,IF($AB$9=1,$T43,BS!$C$8),IF($AB$9=2,$T43,BS!$C$9),$G$49/365,BS!$P$17,BS!$P$18,AO$65)*$Y$30,"")</f>
        <v>-5.3811256286919063E-3</v>
      </c>
      <c r="AQ69" s="133">
        <f t="shared" si="3"/>
        <v>4.518749999999998</v>
      </c>
      <c r="AR69" s="138">
        <f>IF($AA$9=1,CTheOptionFormula($Y$14,BS!$P$6,IF($AB$9=1,$AQ69,BS!$C$8),IF($AB$9=2,$AQ69,BS!$C$9),$L$13/$AA$5,BS!$P$17,BS!$P$18,BS!$C$13)*$Y$30,"")</f>
        <v>2.3120188671260414E-3</v>
      </c>
    </row>
    <row r="70" spans="20:44">
      <c r="T70" s="152">
        <f t="shared" si="5"/>
        <v>3.5999999999999965</v>
      </c>
      <c r="U70" s="135">
        <f>IF($AD$9=1,CTheOptionFormula($Y$14,BS!$P$6,IF($AB$9=1,$T44,BS!$C$8),IF($AB$9=2,$T44,BS!$C$9),$G$49/365,BS!$P$17,BS!$P$18,U$65)*$Y$30,"")</f>
        <v>-2.0030774706080421E-2</v>
      </c>
      <c r="V70" s="136">
        <f>IF($AD$9=1,CTheOptionFormula($Y$14,BS!$P$6,IF($AB$9=1,$T44,BS!$C$8),IF($AB$9=2,$T44,BS!$C$9),$G$49/365,BS!$P$17,BS!$P$18,V$65)*$Y$30,"")</f>
        <v>-1.7130202622443334E-2</v>
      </c>
      <c r="W70" s="136">
        <f>IF($AD$9=1,CTheOptionFormula($Y$14,BS!$P$6,IF($AB$9=1,$T44,BS!$C$8),IF($AB$9=2,$T44,BS!$C$9),$G$49/365,BS!$P$17,BS!$P$18,W$65)*$Y$30,"")</f>
        <v>-1.4839538574745979E-2</v>
      </c>
      <c r="X70" s="136">
        <f>IF($AD$9=1,CTheOptionFormula($Y$14,BS!$P$6,IF($AB$9=1,$T44,BS!$C$8),IF($AB$9=2,$T44,BS!$C$9),$G$49/365,BS!$P$17,BS!$P$18,X$65)*$Y$30,"")</f>
        <v>-1.3005061285047279E-2</v>
      </c>
      <c r="Y70" s="136">
        <f>IF($AD$9=1,CTheOptionFormula($Y$14,BS!$P$6,IF($AB$9=1,$T44,BS!$C$8),IF($AB$9=2,$T44,BS!$C$9),$G$49/365,BS!$P$17,BS!$P$18,Y$65)*$Y$30,"")</f>
        <v>-1.1516566054372035E-2</v>
      </c>
      <c r="Z70" s="136">
        <f>IF($AD$9=1,CTheOptionFormula($Y$14,BS!$P$6,IF($AB$9=1,$T44,BS!$C$8),IF($AB$9=2,$T44,BS!$C$9),$G$49/365,BS!$P$17,BS!$P$18,Z$65)*$Y$30,"")</f>
        <v>-1.0294174074552917E-2</v>
      </c>
      <c r="AA70" s="136">
        <f>IF($AD$9=1,CTheOptionFormula($Y$14,BS!$P$6,IF($AB$9=1,$T44,BS!$C$8),IF($AB$9=2,$T44,BS!$C$9),$G$49/365,BS!$P$17,BS!$P$18,AA$65)*$Y$30,"")</f>
        <v>-9.2792224655448494E-3</v>
      </c>
      <c r="AB70" s="136">
        <f>IF($AD$9=1,CTheOptionFormula($Y$14,BS!$P$6,IF($AB$9=1,$T44,BS!$C$8),IF($AB$9=2,$T44,BS!$C$9),$G$49/365,BS!$P$17,BS!$P$18,AB$65)*$Y$30,"")</f>
        <v>-8.4280377424841239E-3</v>
      </c>
      <c r="AC70" s="136">
        <f>IF($AD$9=1,CTheOptionFormula($Y$14,BS!$P$6,IF($AB$9=1,$T44,BS!$C$8),IF($AB$9=2,$T44,BS!$C$9),$G$49/365,BS!$P$17,BS!$P$18,AC$65)*$Y$30,"")</f>
        <v>-7.7076675733648622E-3</v>
      </c>
      <c r="AD70" s="136">
        <f>IF($AD$9=1,CTheOptionFormula($Y$14,BS!$P$6,IF($AB$9=1,$T44,BS!$C$8),IF($AB$9=2,$T44,BS!$C$9),$G$49/365,BS!$P$17,BS!$P$18,AD$65)*$Y$30,"")</f>
        <v>-7.0929289123001695E-3</v>
      </c>
      <c r="AE70" s="136">
        <f>IF($AD$9=1,CTheOptionFormula($Y$14,BS!$P$6,IF($AB$9=1,$T44,BS!$C$8),IF($AB$9=2,$T44,BS!$C$9),$G$49/365,BS!$P$17,BS!$P$18,AE$65)*$Y$30,"")</f>
        <v>-6.564342980480138E-3</v>
      </c>
      <c r="AF70" s="136">
        <f>IF($AD$9=1,CTheOptionFormula($Y$14,BS!$P$6,IF($AB$9=1,$T44,BS!$C$8),IF($AB$9=2,$T44,BS!$C$9),$G$49/365,BS!$P$17,BS!$P$18,AF$65)*$Y$30,"")</f>
        <v>-6.106672525881365E-3</v>
      </c>
      <c r="AG70" s="136">
        <f>IF($AD$9=1,CTheOptionFormula($Y$14,BS!$P$6,IF($AB$9=1,$T44,BS!$C$8),IF($AB$9=2,$T44,BS!$C$9),$G$49/365,BS!$P$17,BS!$P$18,AG$65)*$Y$30,"")</f>
        <v>-5.7078725068572369E-3</v>
      </c>
      <c r="AH70" s="136">
        <f>IF($AD$9=1,CTheOptionFormula($Y$14,BS!$P$6,IF($AB$9=1,$T44,BS!$C$8),IF($AB$9=2,$T44,BS!$C$9),$G$49/365,BS!$P$17,BS!$P$18,AH$65)*$Y$30,"")</f>
        <v>-5.3583279473064568E-3</v>
      </c>
      <c r="AI70" s="136">
        <f>IF($AD$9=1,CTheOptionFormula($Y$14,BS!$P$6,IF($AB$9=1,$T44,BS!$C$8),IF($AB$9=2,$T44,BS!$C$9),$G$49/365,BS!$P$17,BS!$P$18,AI$65)*$Y$30,"")</f>
        <v>-5.0502937122075889E-3</v>
      </c>
      <c r="AJ70" s="136">
        <f>IF($AD$9=1,CTheOptionFormula($Y$14,BS!$P$6,IF($AB$9=1,$T44,BS!$C$8),IF($AB$9=2,$T44,BS!$C$9),$G$49/365,BS!$P$17,BS!$P$18,AJ$65)*$Y$30,"")</f>
        <v>-4.7774779862374403E-3</v>
      </c>
      <c r="AK70" s="136">
        <f>IF($AD$9=1,CTheOptionFormula($Y$14,BS!$P$6,IF($AB$9=1,$T44,BS!$C$8),IF($AB$9=2,$T44,BS!$C$9),$G$49/365,BS!$P$17,BS!$P$18,AK$65)*$Y$30,"")</f>
        <v>-4.5347292312378521E-3</v>
      </c>
      <c r="AL70" s="136">
        <f>IF($AD$9=1,CTheOptionFormula($Y$14,BS!$P$6,IF($AB$9=1,$T44,BS!$C$8),IF($AB$9=2,$T44,BS!$C$9),$G$49/365,BS!$P$17,BS!$P$18,AL$65)*$Y$30,"")</f>
        <v>-4.3177985028303471E-3</v>
      </c>
      <c r="AM70" s="136">
        <f>IF($AD$9=1,CTheOptionFormula($Y$14,BS!$P$6,IF($AB$9=1,$T44,BS!$C$8),IF($AB$9=2,$T44,BS!$C$9),$G$49/365,BS!$P$17,BS!$P$18,AM$65)*$Y$30,"")</f>
        <v>-4.1231572416212323E-3</v>
      </c>
      <c r="AN70" s="136">
        <f>IF($AD$9=1,CTheOptionFormula($Y$14,BS!$P$6,IF($AB$9=1,$T44,BS!$C$8),IF($AB$9=2,$T44,BS!$C$9),$G$49/365,BS!$P$17,BS!$P$18,AN$65)*$Y$30,"")</f>
        <v>-3.9478563209445179E-3</v>
      </c>
      <c r="AO70" s="137">
        <f>IF($AD$9=1,CTheOptionFormula($Y$14,BS!$P$6,IF($AB$9=1,$T44,BS!$C$8),IF($AB$9=2,$T44,BS!$C$9),$G$49/365,BS!$P$17,BS!$P$18,AO$65)*$Y$30,"")</f>
        <v>-3.7894160759570118E-3</v>
      </c>
      <c r="AQ70" s="133">
        <f t="shared" si="3"/>
        <v>4.5624999999999982</v>
      </c>
      <c r="AR70" s="138">
        <f>IF($AA$9=1,CTheOptionFormula($Y$14,BS!$P$6,IF($AB$9=1,$AQ70,BS!$C$8),IF($AB$9=2,$AQ70,BS!$C$9),$L$13/$AA$5,BS!$P$17,BS!$P$18,BS!$C$13)*$Y$30,"")</f>
        <v>1.5543066703633175E-3</v>
      </c>
    </row>
    <row r="71" spans="20:44">
      <c r="T71" s="152">
        <f t="shared" si="5"/>
        <v>3.6874999999999964</v>
      </c>
      <c r="U71" s="135">
        <f>IF($AD$9=1,CTheOptionFormula($Y$14,BS!$P$6,IF($AB$9=1,$T45,BS!$C$8),IF($AB$9=2,$T45,BS!$C$9),$G$49/365,BS!$P$17,BS!$P$18,U$65)*$Y$30,"")</f>
        <v>-7.4578160074976474E-3</v>
      </c>
      <c r="V71" s="136">
        <f>IF($AD$9=1,CTheOptionFormula($Y$14,BS!$P$6,IF($AB$9=1,$T45,BS!$C$8),IF($AB$9=2,$T45,BS!$C$9),$G$49/365,BS!$P$17,BS!$P$18,V$65)*$Y$30,"")</f>
        <v>-6.4329772478497948E-3</v>
      </c>
      <c r="W71" s="136">
        <f>IF($AD$9=1,CTheOptionFormula($Y$14,BS!$P$6,IF($AB$9=1,$T45,BS!$C$8),IF($AB$9=2,$T45,BS!$C$9),$G$49/365,BS!$P$17,BS!$P$18,W$65)*$Y$30,"")</f>
        <v>-5.6510848991269489E-3</v>
      </c>
      <c r="X71" s="136">
        <f>IF($AD$9=1,CTheOptionFormula($Y$14,BS!$P$6,IF($AB$9=1,$T45,BS!$C$8),IF($AB$9=2,$T45,BS!$C$9),$G$49/365,BS!$P$17,BS!$P$18,X$65)*$Y$30,"")</f>
        <v>-5.0411132118148095E-3</v>
      </c>
      <c r="Y71" s="136">
        <f>IF($AD$9=1,CTheOptionFormula($Y$14,BS!$P$6,IF($AB$9=1,$T45,BS!$C$8),IF($AB$9=2,$T45,BS!$C$9),$G$49/365,BS!$P$17,BS!$P$18,Y$65)*$Y$30,"")</f>
        <v>-4.5561735611630337E-3</v>
      </c>
      <c r="Z71" s="136">
        <f>IF($AD$9=1,CTheOptionFormula($Y$14,BS!$P$6,IF($AB$9=1,$T45,BS!$C$8),IF($AB$9=2,$T45,BS!$C$9),$G$49/365,BS!$P$17,BS!$P$18,Z$65)*$Y$30,"")</f>
        <v>-4.1643142834644833E-3</v>
      </c>
      <c r="AA71" s="136">
        <f>IF($AD$9=1,CTheOptionFormula($Y$14,BS!$P$6,IF($AB$9=1,$T45,BS!$C$8),IF($AB$9=2,$T45,BS!$C$9),$G$49/365,BS!$P$17,BS!$P$18,AA$65)*$Y$30,"")</f>
        <v>-3.8431611196643291E-3</v>
      </c>
      <c r="AB71" s="136">
        <f>IF($AD$9=1,CTheOptionFormula($Y$14,BS!$P$6,IF($AB$9=1,$T45,BS!$C$8),IF($AB$9=2,$T45,BS!$C$9),$G$49/365,BS!$P$17,BS!$P$18,AB$65)*$Y$30,"")</f>
        <v>-3.5766716287506995E-3</v>
      </c>
      <c r="AC71" s="136">
        <f>IF($AD$9=1,CTheOptionFormula($Y$14,BS!$P$6,IF($AB$9=1,$T45,BS!$C$8),IF($AB$9=2,$T45,BS!$C$9),$G$49/365,BS!$P$17,BS!$P$18,AC$65)*$Y$30,"")</f>
        <v>-3.3531026416335043E-3</v>
      </c>
      <c r="AD71" s="136">
        <f>IF($AD$9=1,CTheOptionFormula($Y$14,BS!$P$6,IF($AB$9=1,$T45,BS!$C$8),IF($AB$9=2,$T45,BS!$C$9),$G$49/365,BS!$P$17,BS!$P$18,AD$65)*$Y$30,"")</f>
        <v>-3.1636994433750249E-3</v>
      </c>
      <c r="AE71" s="136">
        <f>IF($AD$9=1,CTheOptionFormula($Y$14,BS!$P$6,IF($AB$9=1,$T45,BS!$C$8),IF($AB$9=2,$T45,BS!$C$9),$G$49/365,BS!$P$17,BS!$P$18,AE$65)*$Y$30,"")</f>
        <v>-3.0018282258154351E-3</v>
      </c>
      <c r="AF71" s="136">
        <f>IF($AD$9=1,CTheOptionFormula($Y$14,BS!$P$6,IF($AB$9=1,$T45,BS!$C$8),IF($AB$9=2,$T45,BS!$C$9),$G$49/365,BS!$P$17,BS!$P$18,AF$65)*$Y$30,"")</f>
        <v>-2.8623885460841341E-3</v>
      </c>
      <c r="AG71" s="136">
        <f>IF($AD$9=1,CTheOptionFormula($Y$14,BS!$P$6,IF($AB$9=1,$T45,BS!$C$8),IF($AB$9=2,$T45,BS!$C$9),$G$49/365,BS!$P$17,BS!$P$18,AG$65)*$Y$30,"")</f>
        <v>-2.7414071430505831E-3</v>
      </c>
      <c r="AH71" s="136">
        <f>IF($AD$9=1,CTheOptionFormula($Y$14,BS!$P$6,IF($AB$9=1,$T45,BS!$C$8),IF($AB$9=2,$T45,BS!$C$9),$G$49/365,BS!$P$17,BS!$P$18,AH$65)*$Y$30,"")</f>
        <v>-2.635751883736573E-3</v>
      </c>
      <c r="AI71" s="136">
        <f>IF($AD$9=1,CTheOptionFormula($Y$14,BS!$P$6,IF($AB$9=1,$T45,BS!$C$8),IF($AB$9=2,$T45,BS!$C$9),$G$49/365,BS!$P$17,BS!$P$18,AI$65)*$Y$30,"")</f>
        <v>-2.5429269089911654E-3</v>
      </c>
      <c r="AJ71" s="136">
        <f>IF($AD$9=1,CTheOptionFormula($Y$14,BS!$P$6,IF($AB$9=1,$T45,BS!$C$8),IF($AB$9=2,$T45,BS!$C$9),$G$49/365,BS!$P$17,BS!$P$18,AJ$65)*$Y$30,"")</f>
        <v>-2.4609236795181885E-3</v>
      </c>
      <c r="AK71" s="136">
        <f>IF($AD$9=1,CTheOptionFormula($Y$14,BS!$P$6,IF($AB$9=1,$T45,BS!$C$8),IF($AB$9=2,$T45,BS!$C$9),$G$49/365,BS!$P$17,BS!$P$18,AK$65)*$Y$30,"")</f>
        <v>-2.3881111532998299E-3</v>
      </c>
      <c r="AL71" s="136">
        <f>IF($AD$9=1,CTheOptionFormula($Y$14,BS!$P$6,IF($AB$9=1,$T45,BS!$C$8),IF($AB$9=2,$T45,BS!$C$9),$G$49/365,BS!$P$17,BS!$P$18,AL$65)*$Y$30,"")</f>
        <v>-2.3231537769884078E-3</v>
      </c>
      <c r="AM71" s="136">
        <f>IF($AD$9=1,CTheOptionFormula($Y$14,BS!$P$6,IF($AB$9=1,$T45,BS!$C$8),IF($AB$9=2,$T45,BS!$C$9),$G$49/365,BS!$P$17,BS!$P$18,AM$65)*$Y$30,"")</f>
        <v>-2.2649495258309882E-3</v>
      </c>
      <c r="AN71" s="136">
        <f>IF($AD$9=1,CTheOptionFormula($Y$14,BS!$P$6,IF($AB$9=1,$T45,BS!$C$8),IF($AB$9=2,$T45,BS!$C$9),$G$49/365,BS!$P$17,BS!$P$18,AN$65)*$Y$30,"")</f>
        <v>-2.2125825823472983E-3</v>
      </c>
      <c r="AO71" s="137">
        <f>IF($AD$9=1,CTheOptionFormula($Y$14,BS!$P$6,IF($AB$9=1,$T45,BS!$C$8),IF($AB$9=2,$T45,BS!$C$9),$G$49/365,BS!$P$17,BS!$P$18,AO$65)*$Y$30,"")</f>
        <v>-2.1652868318880387E-3</v>
      </c>
      <c r="AQ71" s="133">
        <f t="shared" si="3"/>
        <v>4.6062499999999984</v>
      </c>
      <c r="AR71" s="138">
        <f>IF($AA$9=1,CTheOptionFormula($Y$14,BS!$P$6,IF($AB$9=1,$AQ71,BS!$C$8),IF($AB$9=2,$AQ71,BS!$C$9),$L$13/$AA$5,BS!$P$17,BS!$P$18,BS!$C$13)*$Y$30,"")</f>
        <v>1.0122144393403458E-3</v>
      </c>
    </row>
    <row r="72" spans="20:44">
      <c r="T72" s="152">
        <f t="shared" si="5"/>
        <v>3.7749999999999964</v>
      </c>
      <c r="U72" s="135">
        <f>IF($AD$9=1,CTheOptionFormula($Y$14,BS!$P$6,IF($AB$9=1,$T46,BS!$C$8),IF($AB$9=2,$T46,BS!$C$9),$G$49/365,BS!$P$17,BS!$P$18,U$65)*$Y$30,"")</f>
        <v>6.6178818593824393E-3</v>
      </c>
      <c r="V72" s="136">
        <f>IF($AD$9=1,CTheOptionFormula($Y$14,BS!$P$6,IF($AB$9=1,$T46,BS!$C$8),IF($AB$9=2,$T46,BS!$C$9),$G$49/365,BS!$P$17,BS!$P$18,V$65)*$Y$30,"")</f>
        <v>5.2316180594571202E-3</v>
      </c>
      <c r="W72" s="136">
        <f>IF($AD$9=1,CTheOptionFormula($Y$14,BS!$P$6,IF($AB$9=1,$T46,BS!$C$8),IF($AB$9=2,$T46,BS!$C$9),$G$49/365,BS!$P$17,BS!$P$18,W$65)*$Y$30,"")</f>
        <v>4.1712068388109263E-3</v>
      </c>
      <c r="X72" s="136">
        <f>IF($AD$9=1,CTheOptionFormula($Y$14,BS!$P$6,IF($AB$9=1,$T46,BS!$C$8),IF($AB$9=2,$T46,BS!$C$9),$G$49/365,BS!$P$17,BS!$P$18,X$65)*$Y$30,"")</f>
        <v>3.3423568449914183E-3</v>
      </c>
      <c r="Y72" s="136">
        <f>IF($AD$9=1,CTheOptionFormula($Y$14,BS!$P$6,IF($AB$9=1,$T46,BS!$C$8),IF($AB$9=2,$T46,BS!$C$9),$G$49/365,BS!$P$17,BS!$P$18,Y$65)*$Y$30,"")</f>
        <v>2.6824656476238861E-3</v>
      </c>
      <c r="Z72" s="136">
        <f>IF($AD$9=1,CTheOptionFormula($Y$14,BS!$P$6,IF($AB$9=1,$T46,BS!$C$8),IF($AB$9=2,$T46,BS!$C$9),$G$49/365,BS!$P$17,BS!$P$18,Z$65)*$Y$30,"")</f>
        <v>2.1486852644233374E-3</v>
      </c>
      <c r="AA72" s="136">
        <f>IF($AD$9=1,CTheOptionFormula($Y$14,BS!$P$6,IF($AB$9=1,$T46,BS!$C$8),IF($AB$9=2,$T46,BS!$C$9),$G$49/365,BS!$P$17,BS!$P$18,AA$65)*$Y$30,"")</f>
        <v>1.7109064284931814E-3</v>
      </c>
      <c r="AB72" s="136">
        <f>IF($AD$9=1,CTheOptionFormula($Y$14,BS!$P$6,IF($AB$9=1,$T46,BS!$C$8),IF($AB$9=2,$T46,BS!$C$9),$G$49/365,BS!$P$17,BS!$P$18,AB$65)*$Y$30,"")</f>
        <v>1.3474799148358487E-3</v>
      </c>
      <c r="AC72" s="136">
        <f>IF($AD$9=1,CTheOptionFormula($Y$14,BS!$P$6,IF($AB$9=1,$T46,BS!$C$8),IF($AB$9=2,$T46,BS!$C$9),$G$49/365,BS!$P$17,BS!$P$18,AC$65)*$Y$30,"")</f>
        <v>1.0425218847505083E-3</v>
      </c>
      <c r="AD72" s="136">
        <f>IF($AD$9=1,CTheOptionFormula($Y$14,BS!$P$6,IF($AB$9=1,$T46,BS!$C$8),IF($AB$9=2,$T46,BS!$C$9),$G$49/365,BS!$P$17,BS!$P$18,AD$65)*$Y$30,"")</f>
        <v>7.8416811069365652E-4</v>
      </c>
      <c r="AE72" s="136">
        <f>IF($AD$9=1,CTheOptionFormula($Y$14,BS!$P$6,IF($AB$9=1,$T46,BS!$C$8),IF($AB$9=2,$T46,BS!$C$9),$G$49/365,BS!$P$17,BS!$P$18,AE$65)*$Y$30,"")</f>
        <v>5.6341421064962571E-4</v>
      </c>
      <c r="AF72" s="136">
        <f>IF($AD$9=1,CTheOptionFormula($Y$14,BS!$P$6,IF($AB$9=1,$T46,BS!$C$8),IF($AB$9=2,$T46,BS!$C$9),$G$49/365,BS!$P$17,BS!$P$18,AF$65)*$Y$30,"")</f>
        <v>3.7332774254595388E-4</v>
      </c>
      <c r="AG72" s="136">
        <f>IF($AD$9=1,CTheOptionFormula($Y$14,BS!$P$6,IF($AB$9=1,$T46,BS!$C$8),IF($AB$9=2,$T46,BS!$C$9),$G$49/365,BS!$P$17,BS!$P$18,AG$65)*$Y$30,"")</f>
        <v>2.0850206645372436E-4</v>
      </c>
      <c r="AH72" s="136">
        <f>IF($AD$9=1,CTheOptionFormula($Y$14,BS!$P$6,IF($AB$9=1,$T46,BS!$C$8),IF($AB$9=2,$T46,BS!$C$9),$G$49/365,BS!$P$17,BS!$P$18,AH$65)*$Y$30,"")</f>
        <v>6.4670865790893137E-5</v>
      </c>
      <c r="AI72" s="136">
        <f>IF($AD$9=1,CTheOptionFormula($Y$14,BS!$P$6,IF($AB$9=1,$T46,BS!$C$8),IF($AB$9=2,$T46,BS!$C$9),$G$49/365,BS!$P$17,BS!$P$18,AI$65)*$Y$30,"")</f>
        <v>-6.1568440545107261E-5</v>
      </c>
      <c r="AJ72" s="136">
        <f>IF($AD$9=1,CTheOptionFormula($Y$14,BS!$P$6,IF($AB$9=1,$T46,BS!$C$8),IF($AB$9=2,$T46,BS!$C$9),$G$49/365,BS!$P$17,BS!$P$18,AJ$65)*$Y$30,"")</f>
        <v>-1.7295614568684707E-4</v>
      </c>
      <c r="AK72" s="136">
        <f>IF($AD$9=1,CTheOptionFormula($Y$14,BS!$P$6,IF($AB$9=1,$T46,BS!$C$8),IF($AB$9=2,$T46,BS!$C$9),$G$49/365,BS!$P$17,BS!$P$18,AK$65)*$Y$30,"")</f>
        <v>-2.7171899551778589E-4</v>
      </c>
      <c r="AL72" s="136">
        <f>IF($AD$9=1,CTheOptionFormula($Y$14,BS!$P$6,IF($AB$9=1,$T46,BS!$C$8),IF($AB$9=2,$T46,BS!$C$9),$G$49/365,BS!$P$17,BS!$P$18,AL$65)*$Y$30,"")</f>
        <v>-3.5968139981583359E-4</v>
      </c>
      <c r="AM72" s="136">
        <f>IF($AD$9=1,CTheOptionFormula($Y$14,BS!$P$6,IF($AB$9=1,$T46,BS!$C$8),IF($AB$9=2,$T46,BS!$C$9),$G$49/365,BS!$P$17,BS!$P$18,AM$65)*$Y$30,"")</f>
        <v>-4.3834954968546516E-4</v>
      </c>
      <c r="AN72" s="136">
        <f>IF($AD$9=1,CTheOptionFormula($Y$14,BS!$P$6,IF($AB$9=1,$T46,BS!$C$8),IF($AB$9=2,$T46,BS!$C$9),$G$49/365,BS!$P$17,BS!$P$18,AN$65)*$Y$30,"")</f>
        <v>-5.0897572492961801E-4</v>
      </c>
      <c r="AO72" s="137">
        <f>IF($AD$9=1,CTheOptionFormula($Y$14,BS!$P$6,IF($AB$9=1,$T46,BS!$C$8),IF($AB$9=2,$T46,BS!$C$9),$G$49/365,BS!$P$17,BS!$P$18,AO$65)*$Y$30,"")</f>
        <v>-5.7260794553089332E-4</v>
      </c>
      <c r="AQ72" s="133">
        <f t="shared" si="3"/>
        <v>4.6499999999999986</v>
      </c>
      <c r="AR72" s="138">
        <f>IF($AA$9=1,CTheOptionFormula($Y$14,BS!$P$6,IF($AB$9=1,$AQ72,BS!$C$8),IF($AB$9=2,$AQ72,BS!$C$9),$L$13/$AA$5,BS!$P$17,BS!$P$18,BS!$C$13)*$Y$30,"")</f>
        <v>6.3948879221440238E-4</v>
      </c>
    </row>
    <row r="73" spans="20:44">
      <c r="T73" s="152">
        <f t="shared" si="5"/>
        <v>3.8624999999999963</v>
      </c>
      <c r="U73" s="135">
        <f>IF($AD$9=1,CTheOptionFormula($Y$14,BS!$P$6,IF($AB$9=1,$T47,BS!$C$8),IF($AB$9=2,$T47,BS!$C$9),$G$49/365,BS!$P$17,BS!$P$18,U$65)*$Y$30,"")</f>
        <v>1.7793150243463587E-2</v>
      </c>
      <c r="V73" s="136">
        <f>IF($AD$9=1,CTheOptionFormula($Y$14,BS!$P$6,IF($AB$9=1,$T47,BS!$C$8),IF($AB$9=2,$T47,BS!$C$9),$G$49/365,BS!$P$17,BS!$P$18,V$65)*$Y$30,"")</f>
        <v>1.4823629524208565E-2</v>
      </c>
      <c r="W73" s="136">
        <f>IF($AD$9=1,CTheOptionFormula($Y$14,BS!$P$6,IF($AB$9=1,$T47,BS!$C$8),IF($AB$9=2,$T47,BS!$C$9),$G$49/365,BS!$P$17,BS!$P$18,W$65)*$Y$30,"")</f>
        <v>1.2464231364252086E-2</v>
      </c>
      <c r="X73" s="136">
        <f>IF($AD$9=1,CTheOptionFormula($Y$14,BS!$P$6,IF($AB$9=1,$T47,BS!$C$8),IF($AB$9=2,$T47,BS!$C$9),$G$49/365,BS!$P$17,BS!$P$18,X$65)*$Y$30,"")</f>
        <v>1.0566092202162007E-2</v>
      </c>
      <c r="Y73" s="136">
        <f>IF($AD$9=1,CTheOptionFormula($Y$14,BS!$P$6,IF($AB$9=1,$T47,BS!$C$8),IF($AB$9=2,$T47,BS!$C$9),$G$49/365,BS!$P$17,BS!$P$18,Y$65)*$Y$30,"")</f>
        <v>9.0205593516402525E-3</v>
      </c>
      <c r="Z73" s="136">
        <f>IF($AD$9=1,CTheOptionFormula($Y$14,BS!$P$6,IF($AB$9=1,$T47,BS!$C$8),IF($AB$9=2,$T47,BS!$C$9),$G$49/365,BS!$P$17,BS!$P$18,Z$65)*$Y$30,"")</f>
        <v>7.7478678606157916E-3</v>
      </c>
      <c r="AA73" s="136">
        <f>IF($AD$9=1,CTheOptionFormula($Y$14,BS!$P$6,IF($AB$9=1,$T47,BS!$C$8),IF($AB$9=2,$T47,BS!$C$9),$G$49/365,BS!$P$17,BS!$P$18,AA$65)*$Y$30,"")</f>
        <v>6.6888799248541022E-3</v>
      </c>
      <c r="AB73" s="136">
        <f>IF($AD$9=1,CTheOptionFormula($Y$14,BS!$P$6,IF($AB$9=1,$T47,BS!$C$8),IF($AB$9=2,$T47,BS!$C$9),$G$49/365,BS!$P$17,BS!$P$18,AB$65)*$Y$30,"")</f>
        <v>5.7992460963956407E-3</v>
      </c>
      <c r="AC73" s="136">
        <f>IF($AD$9=1,CTheOptionFormula($Y$14,BS!$P$6,IF($AB$9=1,$T47,BS!$C$8),IF($AB$9=2,$T47,BS!$C$9),$G$49/365,BS!$P$17,BS!$P$18,AC$65)*$Y$30,"")</f>
        <v>5.045310897330773E-3</v>
      </c>
      <c r="AD73" s="136">
        <f>IF($AD$9=1,CTheOptionFormula($Y$14,BS!$P$6,IF($AB$9=1,$T47,BS!$C$8),IF($AB$9=2,$T47,BS!$C$9),$G$49/365,BS!$P$17,BS!$P$18,AD$65)*$Y$30,"")</f>
        <v>4.4012344712443842E-3</v>
      </c>
      <c r="AE73" s="136">
        <f>IF($AD$9=1,CTheOptionFormula($Y$14,BS!$P$6,IF($AB$9=1,$T47,BS!$C$8),IF($AB$9=2,$T47,BS!$C$9),$G$49/365,BS!$P$17,BS!$P$18,AE$65)*$Y$30,"")</f>
        <v>3.8469540267429369E-3</v>
      </c>
      <c r="AF73" s="136">
        <f>IF($AD$9=1,CTheOptionFormula($Y$14,BS!$P$6,IF($AB$9=1,$T47,BS!$C$8),IF($AB$9=2,$T47,BS!$C$9),$G$49/365,BS!$P$17,BS!$P$18,AF$65)*$Y$30,"")</f>
        <v>3.3667259294865737E-3</v>
      </c>
      <c r="AG73" s="136">
        <f>IF($AD$9=1,CTheOptionFormula($Y$14,BS!$P$6,IF($AB$9=1,$T47,BS!$C$8),IF($AB$9=2,$T47,BS!$C$9),$G$49/365,BS!$P$17,BS!$P$18,AG$65)*$Y$30,"")</f>
        <v>2.9480718203179486E-3</v>
      </c>
      <c r="AH73" s="136">
        <f>IF($AD$9=1,CTheOptionFormula($Y$14,BS!$P$6,IF($AB$9=1,$T47,BS!$C$8),IF($AB$9=2,$T47,BS!$C$9),$G$49/365,BS!$P$17,BS!$P$18,AH$65)*$Y$30,"")</f>
        <v>2.5810083722148189E-3</v>
      </c>
      <c r="AI73" s="136">
        <f>IF($AD$9=1,CTheOptionFormula($Y$14,BS!$P$6,IF($AB$9=1,$T47,BS!$C$8),IF($AB$9=2,$T47,BS!$C$9),$G$49/365,BS!$P$17,BS!$P$18,AI$65)*$Y$30,"")</f>
        <v>2.2574781875194117E-3</v>
      </c>
      <c r="AJ73" s="136">
        <f>IF($AD$9=1,CTheOptionFormula($Y$14,BS!$P$6,IF($AB$9=1,$T47,BS!$C$8),IF($AB$9=2,$T47,BS!$C$9),$G$49/365,BS!$P$17,BS!$P$18,AJ$65)*$Y$30,"")</f>
        <v>1.9709248420535907E-3</v>
      </c>
      <c r="AK73" s="136">
        <f>IF($AD$9=1,CTheOptionFormula($Y$14,BS!$P$6,IF($AB$9=1,$T47,BS!$C$8),IF($AB$9=2,$T47,BS!$C$9),$G$49/365,BS!$P$17,BS!$P$18,AK$65)*$Y$30,"")</f>
        <v>1.715972329131808E-3</v>
      </c>
      <c r="AL73" s="136">
        <f>IF($AD$9=1,CTheOptionFormula($Y$14,BS!$P$6,IF($AB$9=1,$T47,BS!$C$8),IF($AB$9=2,$T47,BS!$C$9),$G$49/365,BS!$P$17,BS!$P$18,AL$65)*$Y$30,"")</f>
        <v>1.4881809043328028E-3</v>
      </c>
      <c r="AM73" s="136">
        <f>IF($AD$9=1,CTheOptionFormula($Y$14,BS!$P$6,IF($AB$9=1,$T47,BS!$C$8),IF($AB$9=2,$T47,BS!$C$9),$G$49/365,BS!$P$17,BS!$P$18,AM$65)*$Y$30,"")</f>
        <v>1.2838594052372863E-3</v>
      </c>
      <c r="AN73" s="136">
        <f>IF($AD$9=1,CTheOptionFormula($Y$14,BS!$P$6,IF($AB$9=1,$T47,BS!$C$8),IF($AB$9=2,$T47,BS!$C$9),$G$49/365,BS!$P$17,BS!$P$18,AN$65)*$Y$30,"")</f>
        <v>1.0999197217308897E-3</v>
      </c>
      <c r="AO73" s="137">
        <f>IF($AD$9=1,CTheOptionFormula($Y$14,BS!$P$6,IF($AB$9=1,$T47,BS!$C$8),IF($AB$9=2,$T47,BS!$C$9),$G$49/365,BS!$P$17,BS!$P$18,AO$65)*$Y$30,"")</f>
        <v>9.337630171272832E-4</v>
      </c>
      <c r="AQ73" s="133">
        <f t="shared" si="3"/>
        <v>4.6937499999999988</v>
      </c>
      <c r="AR73" s="138">
        <f>IF($AA$9=1,CTheOptionFormula($Y$14,BS!$P$6,IF($AB$9=1,$AQ73,BS!$C$8),IF($AB$9=2,$AQ73,BS!$C$9),$L$13/$AA$5,BS!$P$17,BS!$P$18,BS!$C$13)*$Y$30,"")</f>
        <v>3.9245287647968636E-4</v>
      </c>
    </row>
    <row r="74" spans="20:44">
      <c r="T74" s="152">
        <f t="shared" si="5"/>
        <v>3.9499999999999962</v>
      </c>
      <c r="U74" s="135">
        <f>IF($AD$9=1,CTheOptionFormula($Y$14,BS!$P$6,IF($AB$9=1,$T48,BS!$C$8),IF($AB$9=2,$T48,BS!$C$9),$G$49/365,BS!$P$17,BS!$P$18,U$65)*$Y$30,"")</f>
        <v>2.3481760486153552E-2</v>
      </c>
      <c r="V74" s="136">
        <f>IF($AD$9=1,CTheOptionFormula($Y$14,BS!$P$6,IF($AB$9=1,$T48,BS!$C$8),IF($AB$9=2,$T48,BS!$C$9),$G$49/365,BS!$P$17,BS!$P$18,V$65)*$Y$30,"")</f>
        <v>2.0437365095931307E-2</v>
      </c>
      <c r="W74" s="136">
        <f>IF($AD$9=1,CTheOptionFormula($Y$14,BS!$P$6,IF($AB$9=1,$T48,BS!$C$8),IF($AB$9=2,$T48,BS!$C$9),$G$49/365,BS!$P$17,BS!$P$18,W$65)*$Y$30,"")</f>
        <v>1.7805116045275932E-2</v>
      </c>
      <c r="X74" s="136">
        <f>IF($AD$9=1,CTheOptionFormula($Y$14,BS!$P$6,IF($AB$9=1,$T48,BS!$C$8),IF($AB$9=2,$T48,BS!$C$9),$G$49/365,BS!$P$17,BS!$P$18,X$65)*$Y$30,"")</f>
        <v>1.5552484304139635E-2</v>
      </c>
      <c r="Y74" s="136">
        <f>IF($AD$9=1,CTheOptionFormula($Y$14,BS!$P$6,IF($AB$9=1,$T48,BS!$C$8),IF($AB$9=2,$T48,BS!$C$9),$G$49/365,BS!$P$17,BS!$P$18,Y$65)*$Y$30,"")</f>
        <v>1.363042356600856E-2</v>
      </c>
      <c r="Z74" s="136">
        <f>IF($AD$9=1,CTheOptionFormula($Y$14,BS!$P$6,IF($AB$9=1,$T48,BS!$C$8),IF($AB$9=2,$T48,BS!$C$9),$G$49/365,BS!$P$17,BS!$P$18,Z$65)*$Y$30,"")</f>
        <v>1.1988948417458671E-2</v>
      </c>
      <c r="AA74" s="136">
        <f>IF($AD$9=1,CTheOptionFormula($Y$14,BS!$P$6,IF($AB$9=1,$T48,BS!$C$8),IF($AB$9=2,$T48,BS!$C$9),$G$49/365,BS!$P$17,BS!$P$18,AA$65)*$Y$30,"")</f>
        <v>1.0582931203785752E-2</v>
      </c>
      <c r="AB74" s="136">
        <f>IF($AD$9=1,CTheOptionFormula($Y$14,BS!$P$6,IF($AB$9=1,$T48,BS!$C$8),IF($AB$9=2,$T48,BS!$C$9),$G$49/365,BS!$P$17,BS!$P$18,AB$65)*$Y$30,"")</f>
        <v>9.3737013074477044E-3</v>
      </c>
      <c r="AC74" s="136">
        <f>IF($AD$9=1,CTheOptionFormula($Y$14,BS!$P$6,IF($AB$9=1,$T48,BS!$C$8),IF($AB$9=2,$T48,BS!$C$9),$G$49/365,BS!$P$17,BS!$P$18,AC$65)*$Y$30,"")</f>
        <v>8.3289333673500551E-3</v>
      </c>
      <c r="AD74" s="136">
        <f>IF($AD$9=1,CTheOptionFormula($Y$14,BS!$P$6,IF($AB$9=1,$T48,BS!$C$8),IF($AB$9=2,$T48,BS!$C$9),$G$49/365,BS!$P$17,BS!$P$18,AD$65)*$Y$30,"")</f>
        <v>7.4219197224144754E-3</v>
      </c>
      <c r="AE74" s="136">
        <f>IF($AD$9=1,CTheOptionFormula($Y$14,BS!$P$6,IF($AB$9=1,$T48,BS!$C$8),IF($AB$9=2,$T48,BS!$C$9),$G$49/365,BS!$P$17,BS!$P$18,AE$65)*$Y$30,"")</f>
        <v>6.6306969439306621E-3</v>
      </c>
      <c r="AF74" s="136">
        <f>IF($AD$9=1,CTheOptionFormula($Y$14,BS!$P$6,IF($AB$9=1,$T48,BS!$C$8),IF($AB$9=2,$T48,BS!$C$9),$G$49/365,BS!$P$17,BS!$P$18,AF$65)*$Y$30,"")</f>
        <v>5.9372157725090351E-3</v>
      </c>
      <c r="AG74" s="136">
        <f>IF($AD$9=1,CTheOptionFormula($Y$14,BS!$P$6,IF($AB$9=1,$T48,BS!$C$8),IF($AB$9=2,$T48,BS!$C$9),$G$49/365,BS!$P$17,BS!$P$18,AG$65)*$Y$30,"")</f>
        <v>5.3266194830859379E-3</v>
      </c>
      <c r="AH74" s="136">
        <f>IF($AD$9=1,CTheOptionFormula($Y$14,BS!$P$6,IF($AB$9=1,$T48,BS!$C$8),IF($AB$9=2,$T48,BS!$C$9),$G$49/365,BS!$P$17,BS!$P$18,AH$65)*$Y$30,"")</f>
        <v>4.7866424501312637E-3</v>
      </c>
      <c r="AI74" s="136">
        <f>IF($AD$9=1,CTheOptionFormula($Y$14,BS!$P$6,IF($AB$9=1,$T48,BS!$C$8),IF($AB$9=2,$T48,BS!$C$9),$G$49/365,BS!$P$17,BS!$P$18,AI$65)*$Y$30,"")</f>
        <v>4.3071196053599435E-3</v>
      </c>
      <c r="AJ74" s="136">
        <f>IF($AD$9=1,CTheOptionFormula($Y$14,BS!$P$6,IF($AB$9=1,$T48,BS!$C$8),IF($AB$9=2,$T48,BS!$C$9),$G$49/365,BS!$P$17,BS!$P$18,AJ$65)*$Y$30,"")</f>
        <v>3.8795907163123844E-3</v>
      </c>
      <c r="AK74" s="136">
        <f>IF($AD$9=1,CTheOptionFormula($Y$14,BS!$P$6,IF($AB$9=1,$T48,BS!$C$8),IF($AB$9=2,$T48,BS!$C$9),$G$49/365,BS!$P$17,BS!$P$18,AK$65)*$Y$30,"")</f>
        <v>3.4969827516813014E-3</v>
      </c>
      <c r="AL74" s="136">
        <f>IF($AD$9=1,CTheOptionFormula($Y$14,BS!$P$6,IF($AB$9=1,$T48,BS!$C$8),IF($AB$9=2,$T48,BS!$C$9),$G$49/365,BS!$P$17,BS!$P$18,AL$65)*$Y$30,"")</f>
        <v>3.1533552891324797E-3</v>
      </c>
      <c r="AM74" s="136">
        <f>IF($AD$9=1,CTheOptionFormula($Y$14,BS!$P$6,IF($AB$9=1,$T48,BS!$C$8),IF($AB$9=2,$T48,BS!$C$9),$G$49/365,BS!$P$17,BS!$P$18,AM$65)*$Y$30,"")</f>
        <v>2.8436962931758332E-3</v>
      </c>
      <c r="AN74" s="136">
        <f>IF($AD$9=1,CTheOptionFormula($Y$14,BS!$P$6,IF($AB$9=1,$T48,BS!$C$8),IF($AB$9=2,$T48,BS!$C$9),$G$49/365,BS!$P$17,BS!$P$18,AN$65)*$Y$30,"")</f>
        <v>2.563757939786776E-3</v>
      </c>
      <c r="AO74" s="137">
        <f>IF($AD$9=1,CTheOptionFormula($Y$14,BS!$P$6,IF($AB$9=1,$T48,BS!$C$8),IF($AB$9=2,$T48,BS!$C$9),$G$49/365,BS!$P$17,BS!$P$18,AO$65)*$Y$30,"")</f>
        <v>2.309924229382971E-3</v>
      </c>
      <c r="AQ74" s="133">
        <f t="shared" si="3"/>
        <v>4.7374999999999989</v>
      </c>
      <c r="AR74" s="138">
        <f>IF($AA$9=1,CTheOptionFormula($Y$14,BS!$P$6,IF($AB$9=1,$AQ74,BS!$C$8),IF($AB$9=2,$AQ74,BS!$C$9),$L$13/$AA$5,BS!$P$17,BS!$P$18,BS!$C$13)*$Y$30,"")</f>
        <v>2.3423610492195778E-4</v>
      </c>
    </row>
    <row r="75" spans="20:44">
      <c r="T75" s="152">
        <f t="shared" si="5"/>
        <v>4.0374999999999961</v>
      </c>
      <c r="U75" s="135">
        <f>IF($AD$9=1,CTheOptionFormula($Y$14,BS!$P$6,IF($AB$9=1,$T49,BS!$C$8),IF($AB$9=2,$T49,BS!$C$9),$G$49/365,BS!$P$17,BS!$P$18,U$65)*$Y$30,"")</f>
        <v>2.3633969862805269E-2</v>
      </c>
      <c r="V75" s="136">
        <f>IF($AD$9=1,CTheOptionFormula($Y$14,BS!$P$6,IF($AB$9=1,$T49,BS!$C$8),IF($AB$9=2,$T49,BS!$C$9),$G$49/365,BS!$P$17,BS!$P$18,V$65)*$Y$30,"")</f>
        <v>2.1764834919072763E-2</v>
      </c>
      <c r="W75" s="136">
        <f>IF($AD$9=1,CTheOptionFormula($Y$14,BS!$P$6,IF($AB$9=1,$T49,BS!$C$8),IF($AB$9=2,$T49,BS!$C$9),$G$49/365,BS!$P$17,BS!$P$18,W$65)*$Y$30,"")</f>
        <v>1.9811820890529928E-2</v>
      </c>
      <c r="X75" s="136">
        <f>IF($AD$9=1,CTheOptionFormula($Y$14,BS!$P$6,IF($AB$9=1,$T49,BS!$C$8),IF($AB$9=2,$T49,BS!$C$9),$G$49/365,BS!$P$17,BS!$P$18,X$65)*$Y$30,"")</f>
        <v>1.7923179960952169E-2</v>
      </c>
      <c r="Y75" s="136">
        <f>IF($AD$9=1,CTheOptionFormula($Y$14,BS!$P$6,IF($AB$9=1,$T49,BS!$C$8),IF($AB$9=2,$T49,BS!$C$9),$G$49/365,BS!$P$17,BS!$P$18,Y$65)*$Y$30,"")</f>
        <v>1.6167411707186264E-2</v>
      </c>
      <c r="Z75" s="136">
        <f>IF($AD$9=1,CTheOptionFormula($Y$14,BS!$P$6,IF($AB$9=1,$T49,BS!$C$8),IF($AB$9=2,$T49,BS!$C$9),$G$49/365,BS!$P$17,BS!$P$18,Z$65)*$Y$30,"")</f>
        <v>1.4569785947021215E-2</v>
      </c>
      <c r="AA75" s="136">
        <f>IF($AD$9=1,CTheOptionFormula($Y$14,BS!$P$6,IF($AB$9=1,$T49,BS!$C$8),IF($AB$9=2,$T49,BS!$C$9),$G$49/365,BS!$P$17,BS!$P$18,AA$65)*$Y$30,"")</f>
        <v>1.3133101434501629E-2</v>
      </c>
      <c r="AB75" s="136">
        <f>IF($AD$9=1,CTheOptionFormula($Y$14,BS!$P$6,IF($AB$9=1,$T49,BS!$C$8),IF($AB$9=2,$T49,BS!$C$9),$G$49/365,BS!$P$17,BS!$P$18,AB$65)*$Y$30,"")</f>
        <v>1.1849168284666256E-2</v>
      </c>
      <c r="AC75" s="136">
        <f>IF($AD$9=1,CTheOptionFormula($Y$14,BS!$P$6,IF($AB$9=1,$T49,BS!$C$8),IF($AB$9=2,$T49,BS!$C$9),$G$49/365,BS!$P$17,BS!$P$18,AC$65)*$Y$30,"")</f>
        <v>1.0705029894324708E-2</v>
      </c>
      <c r="AD75" s="136">
        <f>IF($AD$9=1,CTheOptionFormula($Y$14,BS!$P$6,IF($AB$9=1,$T49,BS!$C$8),IF($AB$9=2,$T49,BS!$C$9),$G$49/365,BS!$P$17,BS!$P$18,AD$65)*$Y$30,"")</f>
        <v>9.6862532181018462E-3</v>
      </c>
      <c r="AE75" s="136">
        <f>IF($AD$9=1,CTheOptionFormula($Y$14,BS!$P$6,IF($AB$9=1,$T49,BS!$C$8),IF($AB$9=2,$T49,BS!$C$9),$G$49/365,BS!$P$17,BS!$P$18,AE$65)*$Y$30,"")</f>
        <v>8.7786021398654143E-3</v>
      </c>
      <c r="AF75" s="136">
        <f>IF($AD$9=1,CTheOptionFormula($Y$14,BS!$P$6,IF($AB$9=1,$T49,BS!$C$8),IF($AB$9=2,$T49,BS!$C$9),$G$49/365,BS!$P$17,BS!$P$18,AF$65)*$Y$30,"")</f>
        <v>7.9688280106828026E-3</v>
      </c>
      <c r="AG75" s="136">
        <f>IF($AD$9=1,CTheOptionFormula($Y$14,BS!$P$6,IF($AB$9=1,$T49,BS!$C$8),IF($AB$9=2,$T49,BS!$C$9),$G$49/365,BS!$P$17,BS!$P$18,AG$65)*$Y$30,"")</f>
        <v>7.244985344225202E-3</v>
      </c>
      <c r="AH75" s="136">
        <f>IF($AD$9=1,CTheOptionFormula($Y$14,BS!$P$6,IF($AB$9=1,$T49,BS!$C$8),IF($AB$9=2,$T49,BS!$C$9),$G$49/365,BS!$P$17,BS!$P$18,AH$65)*$Y$30,"")</f>
        <v>6.5964987483006195E-3</v>
      </c>
      <c r="AI75" s="136">
        <f>IF($AD$9=1,CTheOptionFormula($Y$14,BS!$P$6,IF($AB$9=1,$T49,BS!$C$8),IF($AB$9=2,$T49,BS!$C$9),$G$49/365,BS!$P$17,BS!$P$18,AI$65)*$Y$30,"")</f>
        <v>6.0141057781317253E-3</v>
      </c>
      <c r="AJ75" s="136">
        <f>IF($AD$9=1,CTheOptionFormula($Y$14,BS!$P$6,IF($AB$9=1,$T49,BS!$C$8),IF($AB$9=2,$T49,BS!$C$9),$G$49/365,BS!$P$17,BS!$P$18,AJ$65)*$Y$30,"")</f>
        <v>5.4897438255213978E-3</v>
      </c>
      <c r="AK75" s="136">
        <f>IF($AD$9=1,CTheOptionFormula($Y$14,BS!$P$6,IF($AB$9=1,$T49,BS!$C$8),IF($AB$9=2,$T49,BS!$C$9),$G$49/365,BS!$P$17,BS!$P$18,AK$65)*$Y$30,"")</f>
        <v>5.0164175762056704E-3</v>
      </c>
      <c r="AL75" s="136">
        <f>IF($AD$9=1,CTheOptionFormula($Y$14,BS!$P$6,IF($AB$9=1,$T49,BS!$C$8),IF($AB$9=2,$T49,BS!$C$9),$G$49/365,BS!$P$17,BS!$P$18,AL$65)*$Y$30,"")</f>
        <v>4.5880659673699867E-3</v>
      </c>
      <c r="AM75" s="136">
        <f>IF($AD$9=1,CTheOptionFormula($Y$14,BS!$P$6,IF($AB$9=1,$T49,BS!$C$8),IF($AB$9=2,$T49,BS!$C$9),$G$49/365,BS!$P$17,BS!$P$18,AM$65)*$Y$30,"")</f>
        <v>4.1994378279105321E-3</v>
      </c>
      <c r="AN75" s="136">
        <f>IF($AD$9=1,CTheOptionFormula($Y$14,BS!$P$6,IF($AB$9=1,$T49,BS!$C$8),IF($AB$9=2,$T49,BS!$C$9),$G$49/365,BS!$P$17,BS!$P$18,AN$65)*$Y$30,"")</f>
        <v>3.8459800537827961E-3</v>
      </c>
      <c r="AO75" s="137">
        <f>IF($AD$9=1,CTheOptionFormula($Y$14,BS!$P$6,IF($AB$9=1,$T49,BS!$C$8),IF($AB$9=2,$T49,BS!$C$9),$G$49/365,BS!$P$17,BS!$P$18,AO$65)*$Y$30,"")</f>
        <v>3.5237393280856135E-3</v>
      </c>
      <c r="AQ75" s="133">
        <f t="shared" si="3"/>
        <v>4.7812499999999991</v>
      </c>
      <c r="AR75" s="138">
        <f>IF($AA$9=1,CTheOptionFormula($Y$14,BS!$P$6,IF($AB$9=1,$AQ75,BS!$C$8),IF($AB$9=2,$AQ75,BS!$C$9),$L$13/$AA$5,BS!$P$17,BS!$P$18,BS!$C$13)*$Y$30,"")</f>
        <v>1.3611522677602463E-4</v>
      </c>
    </row>
    <row r="76" spans="20:44">
      <c r="T76" s="152">
        <f t="shared" si="5"/>
        <v>4.1249999999999964</v>
      </c>
      <c r="U76" s="135">
        <f>IF($AD$9=1,CTheOptionFormula($Y$14,BS!$P$6,IF($AB$9=1,$T50,BS!$C$8),IF($AB$9=2,$T50,BS!$C$9),$G$49/365,BS!$P$17,BS!$P$18,U$65)*$Y$30,"")</f>
        <v>1.9999907267086017E-2</v>
      </c>
      <c r="V76" s="136">
        <f>IF($AD$9=1,CTheOptionFormula($Y$14,BS!$P$6,IF($AB$9=1,$T50,BS!$C$8),IF($AB$9=2,$T50,BS!$C$9),$G$49/365,BS!$P$17,BS!$P$18,V$65)*$Y$30,"")</f>
        <v>1.9763776308139438E-2</v>
      </c>
      <c r="W76" s="136">
        <f>IF($AD$9=1,CTheOptionFormula($Y$14,BS!$P$6,IF($AB$9=1,$T50,BS!$C$8),IF($AB$9=2,$T50,BS!$C$9),$G$49/365,BS!$P$17,BS!$P$18,W$65)*$Y$30,"")</f>
        <v>1.8990938444120965E-2</v>
      </c>
      <c r="X76" s="136">
        <f>IF($AD$9=1,CTheOptionFormula($Y$14,BS!$P$6,IF($AB$9=1,$T50,BS!$C$8),IF($AB$9=2,$T50,BS!$C$9),$G$49/365,BS!$P$17,BS!$P$18,X$65)*$Y$30,"")</f>
        <v>1.7928914117927627E-2</v>
      </c>
      <c r="Y76" s="136">
        <f>IF($AD$9=1,CTheOptionFormula($Y$14,BS!$P$6,IF($AB$9=1,$T50,BS!$C$8),IF($AB$9=2,$T50,BS!$C$9),$G$49/365,BS!$P$17,BS!$P$18,Y$65)*$Y$30,"")</f>
        <v>1.6737915476252092E-2</v>
      </c>
      <c r="Z76" s="136">
        <f>IF($AD$9=1,CTheOptionFormula($Y$14,BS!$P$6,IF($AB$9=1,$T50,BS!$C$8),IF($AB$9=2,$T50,BS!$C$9),$G$49/365,BS!$P$17,BS!$P$18,Z$65)*$Y$30,"")</f>
        <v>1.5516325326227496E-2</v>
      </c>
      <c r="AA76" s="136">
        <f>IF($AD$9=1,CTheOptionFormula($Y$14,BS!$P$6,IF($AB$9=1,$T50,BS!$C$8),IF($AB$9=2,$T50,BS!$C$9),$G$49/365,BS!$P$17,BS!$P$18,AA$65)*$Y$30,"")</f>
        <v>1.4321657290400622E-2</v>
      </c>
      <c r="AB76" s="136">
        <f>IF($AD$9=1,CTheOptionFormula($Y$14,BS!$P$6,IF($AB$9=1,$T50,BS!$C$8),IF($AB$9=2,$T50,BS!$C$9),$G$49/365,BS!$P$17,BS!$P$18,AB$65)*$Y$30,"")</f>
        <v>1.3185439159900589E-2</v>
      </c>
      <c r="AC76" s="136">
        <f>IF($AD$9=1,CTheOptionFormula($Y$14,BS!$P$6,IF($AB$9=1,$T50,BS!$C$8),IF($AB$9=2,$T50,BS!$C$9),$G$49/365,BS!$P$17,BS!$P$18,AC$65)*$Y$30,"")</f>
        <v>1.2123115393981764E-2</v>
      </c>
      <c r="AD76" s="136">
        <f>IF($AD$9=1,CTheOptionFormula($Y$14,BS!$P$6,IF($AB$9=1,$T50,BS!$C$8),IF($AB$9=2,$T50,BS!$C$9),$G$49/365,BS!$P$17,BS!$P$18,AD$65)*$Y$30,"")</f>
        <v>1.1140418150504346E-2</v>
      </c>
      <c r="AE76" s="136">
        <f>IF($AD$9=1,CTheOptionFormula($Y$14,BS!$P$6,IF($AB$9=1,$T50,BS!$C$8),IF($AB$9=2,$T50,BS!$C$9),$G$49/365,BS!$P$17,BS!$P$18,AE$65)*$Y$30,"")</f>
        <v>1.0237386776031534E-2</v>
      </c>
      <c r="AF76" s="136">
        <f>IF($AD$9=1,CTheOptionFormula($Y$14,BS!$P$6,IF($AB$9=1,$T50,BS!$C$8),IF($AB$9=2,$T50,BS!$C$9),$G$49/365,BS!$P$17,BS!$P$18,AF$65)*$Y$30,"")</f>
        <v>9.4108692845779589E-3</v>
      </c>
      <c r="AG76" s="136">
        <f>IF($AD$9=1,CTheOptionFormula($Y$14,BS!$P$6,IF($AB$9=1,$T50,BS!$C$8),IF($AB$9=2,$T50,BS!$C$9),$G$49/365,BS!$P$17,BS!$P$18,AG$65)*$Y$30,"")</f>
        <v>8.6560598299522448E-3</v>
      </c>
      <c r="AH76" s="136">
        <f>IF($AD$9=1,CTheOptionFormula($Y$14,BS!$P$6,IF($AB$9=1,$T50,BS!$C$8),IF($AB$9=2,$T50,BS!$C$9),$G$49/365,BS!$P$17,BS!$P$18,AH$65)*$Y$30,"")</f>
        <v>7.9674296670955071E-3</v>
      </c>
      <c r="AI76" s="136">
        <f>IF($AD$9=1,CTheOptionFormula($Y$14,BS!$P$6,IF($AB$9=1,$T50,BS!$C$8),IF($AB$9=2,$T50,BS!$C$9),$G$49/365,BS!$P$17,BS!$P$18,AI$65)*$Y$30,"")</f>
        <v>7.3392789048470526E-3</v>
      </c>
      <c r="AJ76" s="136">
        <f>IF($AD$9=1,CTheOptionFormula($Y$14,BS!$P$6,IF($AB$9=1,$T50,BS!$C$8),IF($AB$9=2,$T50,BS!$C$9),$G$49/365,BS!$P$17,BS!$P$18,AJ$65)*$Y$30,"")</f>
        <v>6.7660525250902524E-3</v>
      </c>
      <c r="AK76" s="136">
        <f>IF($AD$9=1,CTheOptionFormula($Y$14,BS!$P$6,IF($AB$9=1,$T50,BS!$C$8),IF($AB$9=2,$T50,BS!$C$9),$G$49/365,BS!$P$17,BS!$P$18,AK$65)*$Y$30,"")</f>
        <v>6.2425109144824201E-3</v>
      </c>
      <c r="AL76" s="136">
        <f>IF($AD$9=1,CTheOptionFormula($Y$14,BS!$P$6,IF($AB$9=1,$T50,BS!$C$8),IF($AB$9=2,$T50,BS!$C$9),$G$49/365,BS!$P$17,BS!$P$18,AL$65)*$Y$30,"")</f>
        <v>5.7638115661672361E-3</v>
      </c>
      <c r="AM76" s="136">
        <f>IF($AD$9=1,CTheOptionFormula($Y$14,BS!$P$6,IF($AB$9=1,$T50,BS!$C$8),IF($AB$9=2,$T50,BS!$C$9),$G$49/365,BS!$P$17,BS!$P$18,AM$65)*$Y$30,"")</f>
        <v>5.3255374586064228E-3</v>
      </c>
      <c r="AN76" s="136">
        <f>IF($AD$9=1,CTheOptionFormula($Y$14,BS!$P$6,IF($AB$9=1,$T50,BS!$C$8),IF($AB$9=2,$T50,BS!$C$9),$G$49/365,BS!$P$17,BS!$P$18,AN$65)*$Y$30,"")</f>
        <v>4.923694301352137E-3</v>
      </c>
      <c r="AO76" s="137">
        <f>IF($AD$9=1,CTheOptionFormula($Y$14,BS!$P$6,IF($AB$9=1,$T50,BS!$C$8),IF($AB$9=2,$T50,BS!$C$9),$G$49/365,BS!$P$17,BS!$P$18,AO$65)*$Y$30,"")</f>
        <v>4.5546904458460009E-3</v>
      </c>
      <c r="AQ76" s="133">
        <f t="shared" si="3"/>
        <v>4.8249999999999993</v>
      </c>
      <c r="AR76" s="138">
        <f>IF($AA$9=1,CTheOptionFormula($Y$14,BS!$P$6,IF($AB$9=1,$AQ76,BS!$C$8),IF($AB$9=2,$AQ76,BS!$C$9),$L$13/$AA$5,BS!$P$17,BS!$P$18,BS!$C$13)*$Y$30,"")</f>
        <v>7.7087712284043747E-5</v>
      </c>
    </row>
    <row r="77" spans="20:44">
      <c r="T77" s="152">
        <f t="shared" si="5"/>
        <v>4.2124999999999968</v>
      </c>
      <c r="U77" s="135">
        <f>IF($AD$9=1,CTheOptionFormula($Y$14,BS!$P$6,IF($AB$9=1,$T51,BS!$C$8),IF($AB$9=2,$T51,BS!$C$9),$G$49/365,BS!$P$17,BS!$P$18,U$65)*$Y$30,"")</f>
        <v>1.4821702466266207E-2</v>
      </c>
      <c r="V77" s="136">
        <f>IF($AD$9=1,CTheOptionFormula($Y$14,BS!$P$6,IF($AB$9=1,$T51,BS!$C$8),IF($AB$9=2,$T51,BS!$C$9),$G$49/365,BS!$P$17,BS!$P$18,V$65)*$Y$30,"")</f>
        <v>1.5933567713315298E-2</v>
      </c>
      <c r="W77" s="136">
        <f>IF($AD$9=1,CTheOptionFormula($Y$14,BS!$P$6,IF($AB$9=1,$T51,BS!$C$8),IF($AB$9=2,$T51,BS!$C$9),$G$49/365,BS!$P$17,BS!$P$18,W$65)*$Y$30,"")</f>
        <v>1.6328347677602592E-2</v>
      </c>
      <c r="X77" s="136">
        <f>IF($AD$9=1,CTheOptionFormula($Y$14,BS!$P$6,IF($AB$9=1,$T51,BS!$C$8),IF($AB$9=2,$T51,BS!$C$9),$G$49/365,BS!$P$17,BS!$P$18,X$65)*$Y$30,"")</f>
        <v>1.6212243462694269E-2</v>
      </c>
      <c r="Y77" s="136">
        <f>IF($AD$9=1,CTheOptionFormula($Y$14,BS!$P$6,IF($AB$9=1,$T51,BS!$C$8),IF($AB$9=2,$T51,BS!$C$9),$G$49/365,BS!$P$17,BS!$P$18,Y$65)*$Y$30,"")</f>
        <v>1.5758155347000355E-2</v>
      </c>
      <c r="Z77" s="136">
        <f>IF($AD$9=1,CTheOptionFormula($Y$14,BS!$P$6,IF($AB$9=1,$T51,BS!$C$8),IF($AB$9=2,$T51,BS!$C$9),$G$49/365,BS!$P$17,BS!$P$18,Z$65)*$Y$30,"")</f>
        <v>1.509628188191255E-2</v>
      </c>
      <c r="AA77" s="136">
        <f>IF($AD$9=1,CTheOptionFormula($Y$14,BS!$P$6,IF($AB$9=1,$T51,BS!$C$8),IF($AB$9=2,$T51,BS!$C$9),$G$49/365,BS!$P$17,BS!$P$18,AA$65)*$Y$30,"")</f>
        <v>1.4318916505079732E-2</v>
      </c>
      <c r="AB77" s="136">
        <f>IF($AD$9=1,CTheOptionFormula($Y$14,BS!$P$6,IF($AB$9=1,$T51,BS!$C$8),IF($AB$9=2,$T51,BS!$C$9),$G$49/365,BS!$P$17,BS!$P$18,AB$65)*$Y$30,"")</f>
        <v>1.3488879204982332E-2</v>
      </c>
      <c r="AC77" s="136">
        <f>IF($AD$9=1,CTheOptionFormula($Y$14,BS!$P$6,IF($AB$9=1,$T51,BS!$C$8),IF($AB$9=2,$T51,BS!$C$9),$G$49/365,BS!$P$17,BS!$P$18,AC$65)*$Y$30,"")</f>
        <v>1.2647521587130717E-2</v>
      </c>
      <c r="AD77" s="136">
        <f>IF($AD$9=1,CTheOptionFormula($Y$14,BS!$P$6,IF($AB$9=1,$T51,BS!$C$8),IF($AB$9=2,$T51,BS!$C$9),$G$49/365,BS!$P$17,BS!$P$18,AD$65)*$Y$30,"")</f>
        <v>1.1821132270250636E-2</v>
      </c>
      <c r="AE77" s="136">
        <f>IF($AD$9=1,CTheOptionFormula($Y$14,BS!$P$6,IF($AB$9=1,$T51,BS!$C$8),IF($AB$9=2,$T51,BS!$C$9),$G$49/365,BS!$P$17,BS!$P$18,AE$65)*$Y$30,"")</f>
        <v>1.1025684681001999E-2</v>
      </c>
      <c r="AF77" s="136">
        <f>IF($AD$9=1,CTheOptionFormula($Y$14,BS!$P$6,IF($AB$9=1,$T51,BS!$C$8),IF($AB$9=2,$T51,BS!$C$9),$G$49/365,BS!$P$17,BS!$P$18,AF$65)*$Y$30,"")</f>
        <v>1.0270216474819635E-2</v>
      </c>
      <c r="AG77" s="136">
        <f>IF($AD$9=1,CTheOptionFormula($Y$14,BS!$P$6,IF($AB$9=1,$T51,BS!$C$8),IF($AB$9=2,$T51,BS!$C$9),$G$49/365,BS!$P$17,BS!$P$18,AG$65)*$Y$30,"")</f>
        <v>9.5591789943384811E-3</v>
      </c>
      <c r="AH77" s="136">
        <f>IF($AD$9=1,CTheOptionFormula($Y$14,BS!$P$6,IF($AB$9=1,$T51,BS!$C$8),IF($AB$9=2,$T51,BS!$C$9),$G$49/365,BS!$P$17,BS!$P$18,AH$65)*$Y$30,"")</f>
        <v>8.8940466233272692E-3</v>
      </c>
      <c r="AI77" s="136">
        <f>IF($AD$9=1,CTheOptionFormula($Y$14,BS!$P$6,IF($AB$9=1,$T51,BS!$C$8),IF($AB$9=2,$T51,BS!$C$9),$G$49/365,BS!$P$17,BS!$P$18,AI$65)*$Y$30,"")</f>
        <v>8.2744077504779533E-3</v>
      </c>
      <c r="AJ77" s="136">
        <f>IF($AD$9=1,CTheOptionFormula($Y$14,BS!$P$6,IF($AB$9=1,$T51,BS!$C$8),IF($AB$9=2,$T51,BS!$C$9),$G$49/365,BS!$P$17,BS!$P$18,AJ$65)*$Y$30,"")</f>
        <v>7.6986979788962627E-3</v>
      </c>
      <c r="AK77" s="136">
        <f>IF($AD$9=1,CTheOptionFormula($Y$14,BS!$P$6,IF($AB$9=1,$T51,BS!$C$8),IF($AB$9=2,$T51,BS!$C$9),$G$49/365,BS!$P$17,BS!$P$18,AK$65)*$Y$30,"")</f>
        <v>7.1646886347975017E-3</v>
      </c>
      <c r="AL77" s="136">
        <f>IF($AD$9=1,CTheOptionFormula($Y$14,BS!$P$6,IF($AB$9=1,$T51,BS!$C$8),IF($AB$9=2,$T51,BS!$C$9),$G$49/365,BS!$P$17,BS!$P$18,AL$65)*$Y$30,"")</f>
        <v>6.6698088598573834E-3</v>
      </c>
      <c r="AM77" s="136">
        <f>IF($AD$9=1,CTheOptionFormula($Y$14,BS!$P$6,IF($AB$9=1,$T51,BS!$C$8),IF($AB$9=2,$T51,BS!$C$9),$G$49/365,BS!$P$17,BS!$P$18,AM$65)*$Y$30,"")</f>
        <v>6.2113550022530909E-3</v>
      </c>
      <c r="AN77" s="136">
        <f>IF($AD$9=1,CTheOptionFormula($Y$14,BS!$P$6,IF($AB$9=1,$T51,BS!$C$8),IF($AB$9=2,$T51,BS!$C$9),$G$49/365,BS!$P$17,BS!$P$18,AN$65)*$Y$30,"")</f>
        <v>5.7866239769107063E-3</v>
      </c>
      <c r="AO77" s="137">
        <f>IF($AD$9=1,CTheOptionFormula($Y$14,BS!$P$6,IF($AB$9=1,$T51,BS!$C$8),IF($AB$9=2,$T51,BS!$C$9),$G$49/365,BS!$P$17,BS!$P$18,AO$65)*$Y$30,"")</f>
        <v>5.392995560895163E-3</v>
      </c>
      <c r="AQ77" s="133">
        <f t="shared" si="3"/>
        <v>4.8687499999999995</v>
      </c>
      <c r="AR77" s="138">
        <f>IF($AA$9=1,CTheOptionFormula($Y$14,BS!$P$6,IF($AB$9=1,$AQ77,BS!$C$8),IF($AB$9=2,$AQ77,BS!$C$9),$L$13/$AA$5,BS!$P$17,BS!$P$18,BS!$C$13)*$Y$30,"")</f>
        <v>4.2589031562814769E-5</v>
      </c>
    </row>
    <row r="78" spans="20:44">
      <c r="T78" s="152">
        <f t="shared" si="5"/>
        <v>4.2999999999999972</v>
      </c>
      <c r="U78" s="135">
        <f>IF($AD$9=1,CTheOptionFormula($Y$14,BS!$P$6,IF($AB$9=1,$T52,BS!$C$8),IF($AB$9=2,$T52,BS!$C$9),$G$49/365,BS!$P$17,BS!$P$18,U$65)*$Y$30,"")</f>
        <v>9.8377932505848351E-3</v>
      </c>
      <c r="V78" s="136">
        <f>IF($AD$9=1,CTheOptionFormula($Y$14,BS!$P$6,IF($AB$9=1,$T52,BS!$C$8),IF($AB$9=2,$T52,BS!$C$9),$G$49/365,BS!$P$17,BS!$P$18,V$65)*$Y$30,"")</f>
        <v>1.1655959714380139E-2</v>
      </c>
      <c r="W78" s="136">
        <f>IF($AD$9=1,CTheOptionFormula($Y$14,BS!$P$6,IF($AB$9=1,$T52,BS!$C$8),IF($AB$9=2,$T52,BS!$C$9),$G$49/365,BS!$P$17,BS!$P$18,W$65)*$Y$30,"")</f>
        <v>1.2864538209136446E-2</v>
      </c>
      <c r="X78" s="136">
        <f>IF($AD$9=1,CTheOptionFormula($Y$14,BS!$P$6,IF($AB$9=1,$T52,BS!$C$8),IF($AB$9=2,$T52,BS!$C$9),$G$49/365,BS!$P$17,BS!$P$18,X$65)*$Y$30,"")</f>
        <v>1.353515168474799E-2</v>
      </c>
      <c r="Y78" s="136">
        <f>IF($AD$9=1,CTheOptionFormula($Y$14,BS!$P$6,IF($AB$9=1,$T52,BS!$C$8),IF($AB$9=2,$T52,BS!$C$9),$G$49/365,BS!$P$17,BS!$P$18,Y$65)*$Y$30,"")</f>
        <v>1.3778228585047016E-2</v>
      </c>
      <c r="Z78" s="136">
        <f>IF($AD$9=1,CTheOptionFormula($Y$14,BS!$P$6,IF($AB$9=1,$T52,BS!$C$8),IF($AB$9=2,$T52,BS!$C$9),$G$49/365,BS!$P$17,BS!$P$18,Z$65)*$Y$30,"")</f>
        <v>1.3704022345458346E-2</v>
      </c>
      <c r="AA78" s="136">
        <f>IF($AD$9=1,CTheOptionFormula($Y$14,BS!$P$6,IF($AB$9=1,$T52,BS!$C$8),IF($AB$9=2,$T52,BS!$C$9),$G$49/365,BS!$P$17,BS!$P$18,AA$65)*$Y$30,"")</f>
        <v>1.3406735053318406E-2</v>
      </c>
      <c r="AB78" s="136">
        <f>IF($AD$9=1,CTheOptionFormula($Y$14,BS!$P$6,IF($AB$9=1,$T52,BS!$C$8),IF($AB$9=2,$T52,BS!$C$9),$G$49/365,BS!$P$17,BS!$P$18,AB$65)*$Y$30,"")</f>
        <v>1.2960693839164792E-2</v>
      </c>
      <c r="AC78" s="136">
        <f>IF($AD$9=1,CTheOptionFormula($Y$14,BS!$P$6,IF($AB$9=1,$T52,BS!$C$8),IF($AB$9=2,$T52,BS!$C$9),$G$49/365,BS!$P$17,BS!$P$18,AC$65)*$Y$30,"")</f>
        <v>1.2421794049448454E-2</v>
      </c>
      <c r="AD78" s="136">
        <f>IF($AD$9=1,CTheOptionFormula($Y$14,BS!$P$6,IF($AB$9=1,$T52,BS!$C$8),IF($AB$9=2,$T52,BS!$C$9),$G$49/365,BS!$P$17,BS!$P$18,AD$65)*$Y$30,"")</f>
        <v>1.1830707022166251E-2</v>
      </c>
      <c r="AE78" s="136">
        <f>IF($AD$9=1,CTheOptionFormula($Y$14,BS!$P$6,IF($AB$9=1,$T52,BS!$C$8),IF($AB$9=2,$T52,BS!$C$9),$G$49/365,BS!$P$17,BS!$P$18,AE$65)*$Y$30,"")</f>
        <v>1.1216266106505208E-2</v>
      </c>
      <c r="AF78" s="136">
        <f>IF($AD$9=1,CTheOptionFormula($Y$14,BS!$P$6,IF($AB$9=1,$T52,BS!$C$8),IF($AB$9=2,$T52,BS!$C$9),$G$49/365,BS!$P$17,BS!$P$18,AF$65)*$Y$30,"")</f>
        <v>1.0598422937333542E-2</v>
      </c>
      <c r="AG78" s="136">
        <f>IF($AD$9=1,CTheOptionFormula($Y$14,BS!$P$6,IF($AB$9=1,$T52,BS!$C$8),IF($AB$9=2,$T52,BS!$C$9),$G$49/365,BS!$P$17,BS!$P$18,AG$65)*$Y$30,"")</f>
        <v>9.9906184032956084E-3</v>
      </c>
      <c r="AH78" s="136">
        <f>IF($AD$9=1,CTheOptionFormula($Y$14,BS!$P$6,IF($AB$9=1,$T52,BS!$C$8),IF($AB$9=2,$T52,BS!$C$9),$G$49/365,BS!$P$17,BS!$P$18,AH$65)*$Y$30,"")</f>
        <v>9.401599054785997E-3</v>
      </c>
      <c r="AI78" s="136">
        <f>IF($AD$9=1,CTheOptionFormula($Y$14,BS!$P$6,IF($AB$9=1,$T52,BS!$C$8),IF($AB$9=2,$T52,BS!$C$9),$G$49/365,BS!$P$17,BS!$P$18,AI$65)*$Y$30,"")</f>
        <v>8.8367713417187403E-3</v>
      </c>
      <c r="AJ78" s="136">
        <f>IF($AD$9=1,CTheOptionFormula($Y$14,BS!$P$6,IF($AB$9=1,$T52,BS!$C$8),IF($AB$9=2,$T52,BS!$C$9),$G$49/365,BS!$P$17,BS!$P$18,AJ$65)*$Y$30,"")</f>
        <v>8.2991940759311617E-3</v>
      </c>
      <c r="AK78" s="136">
        <f>IF($AD$9=1,CTheOptionFormula($Y$14,BS!$P$6,IF($AB$9=1,$T52,BS!$C$8),IF($AB$9=2,$T52,BS!$C$9),$G$49/365,BS!$P$17,BS!$P$18,AK$65)*$Y$30,"")</f>
        <v>7.7902974388003718E-3</v>
      </c>
      <c r="AL78" s="136">
        <f>IF($AD$9=1,CTheOptionFormula($Y$14,BS!$P$6,IF($AB$9=1,$T52,BS!$C$8),IF($AB$9=2,$T52,BS!$C$9),$G$49/365,BS!$P$17,BS!$P$18,AL$65)*$Y$30,"")</f>
        <v>7.3103995677419398E-3</v>
      </c>
      <c r="AM78" s="136">
        <f>IF($AD$9=1,CTheOptionFormula($Y$14,BS!$P$6,IF($AB$9=1,$T52,BS!$C$8),IF($AB$9=2,$T52,BS!$C$9),$G$49/365,BS!$P$17,BS!$P$18,AM$65)*$Y$30,"")</f>
        <v>6.8590752361889894E-3</v>
      </c>
      <c r="AN78" s="136">
        <f>IF($AD$9=1,CTheOptionFormula($Y$14,BS!$P$6,IF($AB$9=1,$T52,BS!$C$8),IF($AB$9=2,$T52,BS!$C$9),$G$49/365,BS!$P$17,BS!$P$18,AN$65)*$Y$30,"")</f>
        <v>6.4354173529215641E-3</v>
      </c>
      <c r="AO78" s="137">
        <f>IF($AD$9=1,CTheOptionFormula($Y$14,BS!$P$6,IF($AB$9=1,$T52,BS!$C$8),IF($AB$9=2,$T52,BS!$C$9),$G$49/365,BS!$P$17,BS!$P$18,AO$65)*$Y$30,"")</f>
        <v>6.0382212171851456E-3</v>
      </c>
      <c r="AQ78" s="133">
        <f t="shared" si="3"/>
        <v>4.9124999999999996</v>
      </c>
      <c r="AR78" s="138">
        <f>IF($AA$9=1,CTheOptionFormula($Y$14,BS!$P$6,IF($AB$9=1,$AQ78,BS!$C$8),IF($AB$9=2,$AQ78,BS!$C$9),$L$13/$AA$5,BS!$P$17,BS!$P$18,BS!$C$13)*$Y$30,"")</f>
        <v>2.297348489220601E-5</v>
      </c>
    </row>
    <row r="79" spans="20:44">
      <c r="T79" s="152">
        <f t="shared" si="5"/>
        <v>4.3874999999999975</v>
      </c>
      <c r="U79" s="135">
        <f>IF($AD$9=1,CTheOptionFormula($Y$14,BS!$P$6,IF($AB$9=1,$T53,BS!$C$8),IF($AB$9=2,$T53,BS!$C$9),$G$49/365,BS!$P$17,BS!$P$18,U$65)*$Y$30,"")</f>
        <v>5.9341302515698857E-3</v>
      </c>
      <c r="V79" s="136">
        <f>IF($AD$9=1,CTheOptionFormula($Y$14,BS!$P$6,IF($AB$9=1,$T53,BS!$C$8),IF($AB$9=2,$T53,BS!$C$9),$G$49/365,BS!$P$17,BS!$P$18,V$65)*$Y$30,"")</f>
        <v>7.8449618475029993E-3</v>
      </c>
      <c r="W79" s="136">
        <f>IF($AD$9=1,CTheOptionFormula($Y$14,BS!$P$6,IF($AB$9=1,$T53,BS!$C$8),IF($AB$9=2,$T53,BS!$C$9),$G$49/365,BS!$P$17,BS!$P$18,W$65)*$Y$30,"")</f>
        <v>9.4123117041125179E-3</v>
      </c>
      <c r="X79" s="136">
        <f>IF($AD$9=1,CTheOptionFormula($Y$14,BS!$P$6,IF($AB$9=1,$T53,BS!$C$8),IF($AB$9=2,$T53,BS!$C$9),$G$49/365,BS!$P$17,BS!$P$18,X$65)*$Y$30,"")</f>
        <v>1.0569469650526265E-2</v>
      </c>
      <c r="Y79" s="136">
        <f>IF($AD$9=1,CTheOptionFormula($Y$14,BS!$P$6,IF($AB$9=1,$T53,BS!$C$8),IF($AB$9=2,$T53,BS!$C$9),$G$49/365,BS!$P$17,BS!$P$18,Y$65)*$Y$30,"")</f>
        <v>1.1331836235786923E-2</v>
      </c>
      <c r="Z79" s="136">
        <f>IF($AD$9=1,CTheOptionFormula($Y$14,BS!$P$6,IF($AB$9=1,$T53,BS!$C$8),IF($AB$9=2,$T53,BS!$C$9),$G$49/365,BS!$P$17,BS!$P$18,Z$65)*$Y$30,"")</f>
        <v>1.1754200800023304E-2</v>
      </c>
      <c r="AA79" s="136">
        <f>IF($AD$9=1,CTheOptionFormula($Y$14,BS!$P$6,IF($AB$9=1,$T53,BS!$C$8),IF($AB$9=2,$T53,BS!$C$9),$G$49/365,BS!$P$17,BS!$P$18,AA$65)*$Y$30,"")</f>
        <v>1.1903342201929417E-2</v>
      </c>
      <c r="AB79" s="136">
        <f>IF($AD$9=1,CTheOptionFormula($Y$14,BS!$P$6,IF($AB$9=1,$T53,BS!$C$8),IF($AB$9=2,$T53,BS!$C$9),$G$49/365,BS!$P$17,BS!$P$18,AB$65)*$Y$30,"")</f>
        <v>1.1843562136958641E-2</v>
      </c>
      <c r="AC79" s="136">
        <f>IF($AD$9=1,CTheOptionFormula($Y$14,BS!$P$6,IF($AB$9=1,$T53,BS!$C$8),IF($AB$9=2,$T53,BS!$C$9),$G$49/365,BS!$P$17,BS!$P$18,AC$65)*$Y$30,"")</f>
        <v>1.1630488267145972E-2</v>
      </c>
      <c r="AD79" s="136">
        <f>IF($AD$9=1,CTheOptionFormula($Y$14,BS!$P$6,IF($AB$9=1,$T53,BS!$C$8),IF($AB$9=2,$T53,BS!$C$9),$G$49/365,BS!$P$17,BS!$P$18,AD$65)*$Y$30,"")</f>
        <v>1.1309415190382593E-2</v>
      </c>
      <c r="AE79" s="136">
        <f>IF($AD$9=1,CTheOptionFormula($Y$14,BS!$P$6,IF($AB$9=1,$T53,BS!$C$8),IF($AB$9=2,$T53,BS!$C$9),$G$49/365,BS!$P$17,BS!$P$18,AE$65)*$Y$30,"")</f>
        <v>1.0915822397716197E-2</v>
      </c>
      <c r="AF79" s="136">
        <f>IF($AD$9=1,CTheOptionFormula($Y$14,BS!$P$6,IF($AB$9=1,$T53,BS!$C$8),IF($AB$9=2,$T53,BS!$C$9),$G$49/365,BS!$P$17,BS!$P$18,AF$65)*$Y$30,"")</f>
        <v>1.0476751607681767E-2</v>
      </c>
      <c r="AG79" s="136">
        <f>IF($AD$9=1,CTheOptionFormula($Y$14,BS!$P$6,IF($AB$9=1,$T53,BS!$C$8),IF($AB$9=2,$T53,BS!$C$9),$G$49/365,BS!$P$17,BS!$P$18,AG$65)*$Y$30,"")</f>
        <v>1.0012376892293531E-2</v>
      </c>
      <c r="AH79" s="136">
        <f>IF($AD$9=1,CTheOptionFormula($Y$14,BS!$P$6,IF($AB$9=1,$T53,BS!$C$8),IF($AB$9=2,$T53,BS!$C$9),$G$49/365,BS!$P$17,BS!$P$18,AH$65)*$Y$30,"")</f>
        <v>9.5374669178450566E-3</v>
      </c>
      <c r="AI79" s="136">
        <f>IF($AD$9=1,CTheOptionFormula($Y$14,BS!$P$6,IF($AB$9=1,$T53,BS!$C$8),IF($AB$9=2,$T53,BS!$C$9),$G$49/365,BS!$P$17,BS!$P$18,AI$65)*$Y$30,"")</f>
        <v>9.0626291249469755E-3</v>
      </c>
      <c r="AJ79" s="136">
        <f>IF($AD$9=1,CTheOptionFormula($Y$14,BS!$P$6,IF($AB$9=1,$T53,BS!$C$8),IF($AB$9=2,$T53,BS!$C$9),$G$49/365,BS!$P$17,BS!$P$18,AJ$65)*$Y$30,"")</f>
        <v>8.5953173917665236E-3</v>
      </c>
      <c r="AK79" s="136">
        <f>IF($AD$9=1,CTheOptionFormula($Y$14,BS!$P$6,IF($AB$9=1,$T53,BS!$C$8),IF($AB$9=2,$T53,BS!$C$9),$G$49/365,BS!$P$17,BS!$P$18,AK$65)*$Y$30,"")</f>
        <v>8.1406241542443577E-3</v>
      </c>
      <c r="AL79" s="136">
        <f>IF($AD$9=1,CTheOptionFormula($Y$14,BS!$P$6,IF($AB$9=1,$T53,BS!$C$8),IF($AB$9=2,$T53,BS!$C$9),$G$49/365,BS!$P$17,BS!$P$18,AL$65)*$Y$30,"")</f>
        <v>7.7018912595374165E-3</v>
      </c>
      <c r="AM79" s="136">
        <f>IF($AD$9=1,CTheOptionFormula($Y$14,BS!$P$6,IF($AB$9=1,$T53,BS!$C$8),IF($AB$9=2,$T53,BS!$C$9),$G$49/365,BS!$P$17,BS!$P$18,AM$65)*$Y$30,"")</f>
        <v>7.281174991092116E-3</v>
      </c>
      <c r="AN79" s="136">
        <f>IF($AD$9=1,CTheOptionFormula($Y$14,BS!$P$6,IF($AB$9=1,$T53,BS!$C$8),IF($AB$9=2,$T53,BS!$C$9),$G$49/365,BS!$P$17,BS!$P$18,AN$65)*$Y$30,"")</f>
        <v>6.8795968766252966E-3</v>
      </c>
      <c r="AO79" s="137">
        <f>IF($AD$9=1,CTheOptionFormula($Y$14,BS!$P$6,IF($AB$9=1,$T53,BS!$C$8),IF($AB$9=2,$T53,BS!$C$9),$G$49/365,BS!$P$17,BS!$P$18,AO$65)*$Y$30,"")</f>
        <v>6.497606548511183E-3</v>
      </c>
      <c r="AQ79" s="133">
        <f>AQ80-($K$14-$K$13)/40</f>
        <v>4.9562499999999998</v>
      </c>
      <c r="AR79" s="138">
        <f>IF($AA$9=1,CTheOptionFormula($Y$14,BS!$P$6,IF($AB$9=1,$AQ79,BS!$C$8),IF($AB$9=2,$AQ79,BS!$C$9),$L$13/$AA$5,BS!$P$17,BS!$P$18,BS!$C$13)*$Y$30,"")</f>
        <v>1.210965960339546E-5</v>
      </c>
    </row>
    <row r="80" spans="20:44">
      <c r="T80" s="152">
        <f t="shared" si="5"/>
        <v>4.4749999999999979</v>
      </c>
      <c r="U80" s="135">
        <f>IF($AD$9=1,CTheOptionFormula($Y$14,BS!$P$6,IF($AB$9=1,$T54,BS!$C$8),IF($AB$9=2,$T54,BS!$C$9),$G$49/365,BS!$P$17,BS!$P$18,U$65)*$Y$30,"")</f>
        <v>3.2873583619684667E-3</v>
      </c>
      <c r="V80" s="136">
        <f>IF($AD$9=1,CTheOptionFormula($Y$14,BS!$P$6,IF($AB$9=1,$T54,BS!$C$8),IF($AB$9=2,$T54,BS!$C$9),$G$49/365,BS!$P$17,BS!$P$18,V$65)*$Y$30,"")</f>
        <v>4.9057043686827643E-3</v>
      </c>
      <c r="W80" s="136">
        <f>IF($AD$9=1,CTheOptionFormula($Y$14,BS!$P$6,IF($AB$9=1,$T54,BS!$C$8),IF($AB$9=2,$T54,BS!$C$9),$G$49/365,BS!$P$17,BS!$P$18,W$65)*$Y$30,"")</f>
        <v>6.4547745264451574E-3</v>
      </c>
      <c r="X80" s="136">
        <f>IF($AD$9=1,CTheOptionFormula($Y$14,BS!$P$6,IF($AB$9=1,$T54,BS!$C$8),IF($AB$9=2,$T54,BS!$C$9),$G$49/365,BS!$P$17,BS!$P$18,X$65)*$Y$30,"")</f>
        <v>7.7889372411804074E-3</v>
      </c>
      <c r="Y80" s="136">
        <f>IF($AD$9=1,CTheOptionFormula($Y$14,BS!$P$6,IF($AB$9=1,$T54,BS!$C$8),IF($AB$9=2,$T54,BS!$C$9),$G$49/365,BS!$P$17,BS!$P$18,Y$65)*$Y$30,"")</f>
        <v>8.8423474384368358E-3</v>
      </c>
      <c r="Z80" s="136">
        <f>IF($AD$9=1,CTheOptionFormula($Y$14,BS!$P$6,IF($AB$9=1,$T54,BS!$C$8),IF($AB$9=2,$T54,BS!$C$9),$G$49/365,BS!$P$17,BS!$P$18,Z$65)*$Y$30,"")</f>
        <v>9.6063198508119091E-3</v>
      </c>
      <c r="AA80" s="136">
        <f>IF($AD$9=1,CTheOptionFormula($Y$14,BS!$P$6,IF($AB$9=1,$T54,BS!$C$8),IF($AB$9=2,$T54,BS!$C$9),$G$49/365,BS!$P$17,BS!$P$18,AA$65)*$Y$30,"")</f>
        <v>1.0105009860726471E-2</v>
      </c>
      <c r="AB80" s="136">
        <f>IF($AD$9=1,CTheOptionFormula($Y$14,BS!$P$6,IF($AB$9=1,$T54,BS!$C$8),IF($AB$9=2,$T54,BS!$C$9),$G$49/365,BS!$P$17,BS!$P$18,AB$65)*$Y$30,"")</f>
        <v>1.0377327898239686E-2</v>
      </c>
      <c r="AC80" s="136">
        <f>IF($AD$9=1,CTheOptionFormula($Y$14,BS!$P$6,IF($AB$9=1,$T54,BS!$C$8),IF($AB$9=2,$T54,BS!$C$9),$G$49/365,BS!$P$17,BS!$P$18,AC$65)*$Y$30,"")</f>
        <v>1.0465742052817625E-2</v>
      </c>
      <c r="AD80" s="136">
        <f>IF($AD$9=1,CTheOptionFormula($Y$14,BS!$P$6,IF($AB$9=1,$T54,BS!$C$8),IF($AB$9=2,$T54,BS!$C$9),$G$49/365,BS!$P$17,BS!$P$18,AD$65)*$Y$30,"")</f>
        <v>1.0410286274529924E-2</v>
      </c>
      <c r="AE80" s="136">
        <f>IF($AD$9=1,CTheOptionFormula($Y$14,BS!$P$6,IF($AB$9=1,$T54,BS!$C$8),IF($AB$9=2,$T54,BS!$C$9),$G$49/365,BS!$P$17,BS!$P$18,AE$65)*$Y$30,"")</f>
        <v>1.0245899394977083E-2</v>
      </c>
      <c r="AF80" s="136">
        <f>IF($AD$9=1,CTheOptionFormula($Y$14,BS!$P$6,IF($AB$9=1,$T54,BS!$C$8),IF($AB$9=2,$T54,BS!$C$9),$G$49/365,BS!$P$17,BS!$P$18,AF$65)*$Y$30,"")</f>
        <v>1.0001670515654464E-2</v>
      </c>
      <c r="AG80" s="136">
        <f>IF($AD$9=1,CTheOptionFormula($Y$14,BS!$P$6,IF($AB$9=1,$T54,BS!$C$8),IF($AB$9=2,$T54,BS!$C$9),$G$49/365,BS!$P$17,BS!$P$18,AG$65)*$Y$30,"")</f>
        <v>9.7010645769806895E-3</v>
      </c>
      <c r="AH80" s="136">
        <f>IF($AD$9=1,CTheOptionFormula($Y$14,BS!$P$6,IF($AB$9=1,$T54,BS!$C$8),IF($AB$9=2,$T54,BS!$C$9),$G$49/365,BS!$P$17,BS!$P$18,AH$65)*$Y$30,"")</f>
        <v>9.3625801726004865E-3</v>
      </c>
      <c r="AI80" s="136">
        <f>IF($AD$9=1,CTheOptionFormula($Y$14,BS!$P$6,IF($AB$9=1,$T54,BS!$C$8),IF($AB$9=2,$T54,BS!$C$9),$G$49/365,BS!$P$17,BS!$P$18,AI$65)*$Y$30,"")</f>
        <v>9.0005394954431033E-3</v>
      </c>
      <c r="AJ80" s="136">
        <f>IF($AD$9=1,CTheOptionFormula($Y$14,BS!$P$6,IF($AB$9=1,$T54,BS!$C$8),IF($AB$9=2,$T54,BS!$C$9),$G$49/365,BS!$P$17,BS!$P$18,AJ$65)*$Y$30,"")</f>
        <v>8.6258595839384875E-3</v>
      </c>
      <c r="AK80" s="136">
        <f>IF($AD$9=1,CTheOptionFormula($Y$14,BS!$P$6,IF($AB$9=1,$T54,BS!$C$8),IF($AB$9=2,$T54,BS!$C$9),$G$49/365,BS!$P$17,BS!$P$18,AK$65)*$Y$30,"")</f>
        <v>8.2467385723917711E-3</v>
      </c>
      <c r="AL80" s="136">
        <f>IF($AD$9=1,CTheOptionFormula($Y$14,BS!$P$6,IF($AB$9=1,$T54,BS!$C$8),IF($AB$9=2,$T54,BS!$C$9),$G$49/365,BS!$P$17,BS!$P$18,AL$65)*$Y$30,"")</f>
        <v>7.8692357841177365E-3</v>
      </c>
      <c r="AM80" s="136">
        <f>IF($AD$9=1,CTheOptionFormula($Y$14,BS!$P$6,IF($AB$9=1,$T54,BS!$C$8),IF($AB$9=2,$T54,BS!$C$9),$G$49/365,BS!$P$17,BS!$P$18,AM$65)*$Y$30,"")</f>
        <v>7.4977468924842926E-3</v>
      </c>
      <c r="AN80" s="136">
        <f>IF($AD$9=1,CTheOptionFormula($Y$14,BS!$P$6,IF($AB$9=1,$T54,BS!$C$8),IF($AB$9=2,$T54,BS!$C$9),$G$49/365,BS!$P$17,BS!$P$18,AN$65)*$Y$30,"")</f>
        <v>7.1353852048786628E-3</v>
      </c>
      <c r="AO80" s="137">
        <f>IF($AD$9=1,CTheOptionFormula($Y$14,BS!$P$6,IF($AB$9=1,$T54,BS!$C$8),IF($AB$9=2,$T54,BS!$C$9),$G$49/365,BS!$P$17,BS!$P$18,AO$65)*$Y$30,"")</f>
        <v>6.7842833514973879E-3</v>
      </c>
      <c r="AQ80" s="153">
        <f>K14</f>
        <v>5</v>
      </c>
      <c r="AR80" s="154">
        <f>IF($AA$9=1,CTheOptionFormula($Y$14,BS!$P$6,IF($AB$9=1,$AQ80,BS!$C$8),IF($AB$9=2,$AQ80,BS!$C$9),$L$13/$AA$5,BS!$P$17,BS!$P$18,BS!$C$13)*$Y$30,"")</f>
        <v>6.2424079011947959E-6</v>
      </c>
    </row>
    <row r="81" spans="20:41">
      <c r="T81" s="152">
        <f t="shared" si="5"/>
        <v>4.5624999999999982</v>
      </c>
      <c r="U81" s="135">
        <f>IF($AD$9=1,CTheOptionFormula($Y$14,BS!$P$6,IF($AB$9=1,$T55,BS!$C$8),IF($AB$9=2,$T55,BS!$C$9),$G$49/365,BS!$P$17,BS!$P$18,U$65)*$Y$30,"")</f>
        <v>1.686216017780203E-3</v>
      </c>
      <c r="V81" s="136">
        <f>IF($AD$9=1,CTheOptionFormula($Y$14,BS!$P$6,IF($AB$9=1,$T55,BS!$C$8),IF($AB$9=2,$T55,BS!$C$9),$G$49/365,BS!$P$17,BS!$P$18,V$65)*$Y$30,"")</f>
        <v>2.8716251959761802E-3</v>
      </c>
      <c r="W81" s="136">
        <f>IF($AD$9=1,CTheOptionFormula($Y$14,BS!$P$6,IF($AB$9=1,$T55,BS!$C$8),IF($AB$9=2,$T55,BS!$C$9),$G$49/365,BS!$P$17,BS!$P$18,W$65)*$Y$30,"")</f>
        <v>4.178068461837531E-3</v>
      </c>
      <c r="X81" s="136">
        <f>IF($AD$9=1,CTheOptionFormula($Y$14,BS!$P$6,IF($AB$9=1,$T55,BS!$C$8),IF($AB$9=2,$T55,BS!$C$9),$G$49/365,BS!$P$17,BS!$P$18,X$65)*$Y$30,"")</f>
        <v>5.452535005471674E-3</v>
      </c>
      <c r="Y81" s="136">
        <f>IF($AD$9=1,CTheOptionFormula($Y$14,BS!$P$6,IF($AB$9=1,$T55,BS!$C$8),IF($AB$9=2,$T55,BS!$C$9),$G$49/365,BS!$P$17,BS!$P$18,Y$65)*$Y$30,"")</f>
        <v>6.587623494738468E-3</v>
      </c>
      <c r="Z81" s="136">
        <f>IF($AD$9=1,CTheOptionFormula($Y$14,BS!$P$6,IF($AB$9=1,$T55,BS!$C$8),IF($AB$9=2,$T55,BS!$C$9),$G$49/365,BS!$P$17,BS!$P$18,Z$65)*$Y$30,"")</f>
        <v>7.5262178481276497E-3</v>
      </c>
      <c r="AA81" s="136">
        <f>IF($AD$9=1,CTheOptionFormula($Y$14,BS!$P$6,IF($AB$9=1,$T55,BS!$C$8),IF($AB$9=2,$T55,BS!$C$9),$G$49/365,BS!$P$17,BS!$P$18,AA$65)*$Y$30,"")</f>
        <v>8.2506885177432241E-3</v>
      </c>
      <c r="AB81" s="136">
        <f>IF($AD$9=1,CTheOptionFormula($Y$14,BS!$P$6,IF($AB$9=1,$T55,BS!$C$8),IF($AB$9=2,$T55,BS!$C$9),$G$49/365,BS!$P$17,BS!$P$18,AB$65)*$Y$30,"")</f>
        <v>8.7689360079909462E-3</v>
      </c>
      <c r="AC81" s="136">
        <f>IF($AD$9=1,CTheOptionFormula($Y$14,BS!$P$6,IF($AB$9=1,$T55,BS!$C$8),IF($AB$9=2,$T55,BS!$C$9),$G$49/365,BS!$P$17,BS!$P$18,AC$65)*$Y$30,"")</f>
        <v>9.1026969070923443E-3</v>
      </c>
      <c r="AD81" s="136">
        <f>IF($AD$9=1,CTheOptionFormula($Y$14,BS!$P$6,IF($AB$9=1,$T55,BS!$C$8),IF($AB$9=2,$T55,BS!$C$9),$G$49/365,BS!$P$17,BS!$P$18,AD$65)*$Y$30,"")</f>
        <v>9.2794193523977539E-3</v>
      </c>
      <c r="AE81" s="136">
        <f>IF($AD$9=1,CTheOptionFormula($Y$14,BS!$P$6,IF($AB$9=1,$T55,BS!$C$8),IF($AB$9=2,$T55,BS!$C$9),$G$49/365,BS!$P$17,BS!$P$18,AE$65)*$Y$30,"")</f>
        <v>9.3272877602159458E-3</v>
      </c>
      <c r="AF81" s="136">
        <f>IF($AD$9=1,CTheOptionFormula($Y$14,BS!$P$6,IF($AB$9=1,$T55,BS!$C$8),IF($AB$9=2,$T55,BS!$C$9),$G$49/365,BS!$P$17,BS!$P$18,AF$65)*$Y$30,"")</f>
        <v>9.2725254456673678E-3</v>
      </c>
      <c r="AG81" s="136">
        <f>IF($AD$9=1,CTheOptionFormula($Y$14,BS!$P$6,IF($AB$9=1,$T55,BS!$C$8),IF($AB$9=2,$T55,BS!$C$9),$G$49/365,BS!$P$17,BS!$P$18,AG$65)*$Y$30,"")</f>
        <v>9.1381689819160141E-3</v>
      </c>
      <c r="AH81" s="136">
        <f>IF($AD$9=1,CTheOptionFormula($Y$14,BS!$P$6,IF($AB$9=1,$T55,BS!$C$8),IF($AB$9=2,$T55,BS!$C$9),$G$49/365,BS!$P$17,BS!$P$18,AH$65)*$Y$30,"")</f>
        <v>8.9437147117078699E-3</v>
      </c>
      <c r="AI81" s="136">
        <f>IF($AD$9=1,CTheOptionFormula($Y$14,BS!$P$6,IF($AB$9=1,$T55,BS!$C$8),IF($AB$9=2,$T55,BS!$C$9),$G$49/365,BS!$P$17,BS!$P$18,AI$65)*$Y$30,"")</f>
        <v>8.7052380670578477E-3</v>
      </c>
      <c r="AJ81" s="136">
        <f>IF($AD$9=1,CTheOptionFormula($Y$14,BS!$P$6,IF($AB$9=1,$T55,BS!$C$8),IF($AB$9=2,$T55,BS!$C$9),$G$49/365,BS!$P$17,BS!$P$18,AJ$65)*$Y$30,"")</f>
        <v>8.4357386021455642E-3</v>
      </c>
      <c r="AK81" s="136">
        <f>IF($AD$9=1,CTheOptionFormula($Y$14,BS!$P$6,IF($AB$9=1,$T55,BS!$C$8),IF($AB$9=2,$T55,BS!$C$9),$G$49/365,BS!$P$17,BS!$P$18,AK$65)*$Y$30,"")</f>
        <v>8.145567093143638E-3</v>
      </c>
      <c r="AL81" s="136">
        <f>IF($AD$9=1,CTheOptionFormula($Y$14,BS!$P$6,IF($AB$9=1,$T55,BS!$C$8),IF($AB$9=2,$T55,BS!$C$9),$G$49/365,BS!$P$17,BS!$P$18,AL$65)*$Y$30,"")</f>
        <v>7.842856694506517E-3</v>
      </c>
      <c r="AM81" s="136">
        <f>IF($AD$9=1,CTheOptionFormula($Y$14,BS!$P$6,IF($AB$9=1,$T55,BS!$C$8),IF($AB$9=2,$T55,BS!$C$9),$G$49/365,BS!$P$17,BS!$P$18,AM$65)*$Y$30,"")</f>
        <v>7.5339197080100543E-3</v>
      </c>
      <c r="AN81" s="136">
        <f>IF($AD$9=1,CTheOptionFormula($Y$14,BS!$P$6,IF($AB$9=1,$T55,BS!$C$8),IF($AB$9=2,$T55,BS!$C$9),$G$49/365,BS!$P$17,BS!$P$18,AN$65)*$Y$30,"")</f>
        <v>7.2235942760234591E-3</v>
      </c>
      <c r="AO81" s="137">
        <f>IF($AD$9=1,CTheOptionFormula($Y$14,BS!$P$6,IF($AB$9=1,$T55,BS!$C$8),IF($AB$9=2,$T55,BS!$C$9),$G$49/365,BS!$P$17,BS!$P$18,AO$65)*$Y$30,"")</f>
        <v>6.9155377098006144E-3</v>
      </c>
    </row>
    <row r="82" spans="20:41">
      <c r="T82" s="152">
        <f t="shared" si="5"/>
        <v>4.6499999999999986</v>
      </c>
      <c r="U82" s="135">
        <f>IF($AD$9=1,CTheOptionFormula($Y$14,BS!$P$6,IF($AB$9=1,$T56,BS!$C$8),IF($AB$9=2,$T56,BS!$C$9),$G$49/365,BS!$P$17,BS!$P$18,U$65)*$Y$30,"")</f>
        <v>8.0620423701533361E-4</v>
      </c>
      <c r="V82" s="136">
        <f>IF($AD$9=1,CTheOptionFormula($Y$14,BS!$P$6,IF($AB$9=1,$T56,BS!$C$8),IF($AB$9=2,$T56,BS!$C$9),$G$49/365,BS!$P$17,BS!$P$18,V$65)*$Y$30,"")</f>
        <v>1.58299112575839E-3</v>
      </c>
      <c r="W82" s="136">
        <f>IF($AD$9=1,CTheOptionFormula($Y$14,BS!$P$6,IF($AB$9=1,$T56,BS!$C$8),IF($AB$9=2,$T56,BS!$C$9),$G$49/365,BS!$P$17,BS!$P$18,W$65)*$Y$30,"")</f>
        <v>2.5667151376580983E-3</v>
      </c>
      <c r="X82" s="136">
        <f>IF($AD$9=1,CTheOptionFormula($Y$14,BS!$P$6,IF($AB$9=1,$T56,BS!$C$8),IF($AB$9=2,$T56,BS!$C$9),$G$49/365,BS!$P$17,BS!$P$18,X$65)*$Y$30,"")</f>
        <v>3.6446122474620497E-3</v>
      </c>
      <c r="Y82" s="136">
        <f>IF($AD$9=1,CTheOptionFormula($Y$14,BS!$P$6,IF($AB$9=1,$T56,BS!$C$8),IF($AB$9=2,$T56,BS!$C$9),$G$49/365,BS!$P$17,BS!$P$18,Y$65)*$Y$30,"")</f>
        <v>4.7086583888637165E-3</v>
      </c>
      <c r="Z82" s="136">
        <f>IF($AD$9=1,CTheOptionFormula($Y$14,BS!$P$6,IF($AB$9=1,$T56,BS!$C$8),IF($AB$9=2,$T56,BS!$C$9),$G$49/365,BS!$P$17,BS!$P$18,Z$65)*$Y$30,"")</f>
        <v>5.6789628861655464E-3</v>
      </c>
      <c r="AA82" s="136">
        <f>IF($AD$9=1,CTheOptionFormula($Y$14,BS!$P$6,IF($AB$9=1,$T56,BS!$C$8),IF($AB$9=2,$T56,BS!$C$9),$G$49/365,BS!$P$17,BS!$P$18,AA$65)*$Y$30,"")</f>
        <v>6.5083434351685052E-3</v>
      </c>
      <c r="AB82" s="136">
        <f>IF($AD$9=1,CTheOptionFormula($Y$14,BS!$P$6,IF($AB$9=1,$T56,BS!$C$8),IF($AB$9=2,$T56,BS!$C$9),$G$49/365,BS!$P$17,BS!$P$18,AB$65)*$Y$30,"")</f>
        <v>7.1770952832333548E-3</v>
      </c>
      <c r="AC82" s="136">
        <f>IF($AD$9=1,CTheOptionFormula($Y$14,BS!$P$6,IF($AB$9=1,$T56,BS!$C$8),IF($AB$9=2,$T56,BS!$C$9),$G$49/365,BS!$P$17,BS!$P$18,AC$65)*$Y$30,"")</f>
        <v>7.6848398107728332E-3</v>
      </c>
      <c r="AD82" s="136">
        <f>IF($AD$9=1,CTheOptionFormula($Y$14,BS!$P$6,IF($AB$9=1,$T56,BS!$C$8),IF($AB$9=2,$T56,BS!$C$9),$G$49/365,BS!$P$17,BS!$P$18,AD$65)*$Y$30,"")</f>
        <v>8.0429722342286979E-3</v>
      </c>
      <c r="AE82" s="136">
        <f>IF($AD$9=1,CTheOptionFormula($Y$14,BS!$P$6,IF($AB$9=1,$T56,BS!$C$8),IF($AB$9=2,$T56,BS!$C$9),$G$49/365,BS!$P$17,BS!$P$18,AE$65)*$Y$30,"")</f>
        <v>8.2689200252795744E-3</v>
      </c>
      <c r="AF82" s="136">
        <f>IF($AD$9=1,CTheOptionFormula($Y$14,BS!$P$6,IF($AB$9=1,$T56,BS!$C$8),IF($AB$9=2,$T56,BS!$C$9),$G$49/365,BS!$P$17,BS!$P$18,AF$65)*$Y$30,"")</f>
        <v>8.3822720586206306E-3</v>
      </c>
      <c r="AG82" s="136">
        <f>IF($AD$9=1,CTheOptionFormula($Y$14,BS!$P$6,IF($AB$9=1,$T56,BS!$C$8),IF($AB$9=2,$T56,BS!$C$9),$G$49/365,BS!$P$17,BS!$P$18,AG$65)*$Y$30,"")</f>
        <v>8.4024136230355598E-3</v>
      </c>
      <c r="AH82" s="136">
        <f>IF($AD$9=1,CTheOptionFormula($Y$14,BS!$P$6,IF($AB$9=1,$T56,BS!$C$8),IF($AB$9=2,$T56,BS!$C$9),$G$49/365,BS!$P$17,BS!$P$18,AH$65)*$Y$30,"")</f>
        <v>8.3472318508031346E-3</v>
      </c>
      <c r="AI82" s="136">
        <f>IF($AD$9=1,CTheOptionFormula($Y$14,BS!$P$6,IF($AB$9=1,$T56,BS!$C$8),IF($AB$9=2,$T56,BS!$C$9),$G$49/365,BS!$P$17,BS!$P$18,AI$65)*$Y$30,"")</f>
        <v>8.2325214604769045E-3</v>
      </c>
      <c r="AJ82" s="136">
        <f>IF($AD$9=1,CTheOptionFormula($Y$14,BS!$P$6,IF($AB$9=1,$T56,BS!$C$8),IF($AB$9=2,$T56,BS!$C$9),$G$49/365,BS!$P$17,BS!$P$18,AJ$65)*$Y$30,"")</f>
        <v>8.0718176005147909E-3</v>
      </c>
      <c r="AK82" s="136">
        <f>IF($AD$9=1,CTheOptionFormula($Y$14,BS!$P$6,IF($AB$9=1,$T56,BS!$C$8),IF($AB$9=2,$T56,BS!$C$9),$G$49/365,BS!$P$17,BS!$P$18,AK$65)*$Y$30,"")</f>
        <v>7.876469995909954E-3</v>
      </c>
      <c r="AL82" s="136">
        <f>IF($AD$9=1,CTheOptionFormula($Y$14,BS!$P$6,IF($AB$9=1,$T56,BS!$C$8),IF($AB$9=2,$T56,BS!$C$9),$G$49/365,BS!$P$17,BS!$P$18,AL$65)*$Y$30,"")</f>
        <v>7.6558392818888397E-3</v>
      </c>
      <c r="AM82" s="136">
        <f>IF($AD$9=1,CTheOptionFormula($Y$14,BS!$P$6,IF($AB$9=1,$T56,BS!$C$8),IF($AB$9=2,$T56,BS!$C$9),$G$49/365,BS!$P$17,BS!$P$18,AM$65)*$Y$30,"")</f>
        <v>7.4175430058195648E-3</v>
      </c>
      <c r="AN82" s="136">
        <f>IF($AD$9=1,CTheOptionFormula($Y$14,BS!$P$6,IF($AB$9=1,$T56,BS!$C$8),IF($AB$9=2,$T56,BS!$C$9),$G$49/365,BS!$P$17,BS!$P$18,AN$65)*$Y$30,"")</f>
        <v>7.1677095507829821E-3</v>
      </c>
      <c r="AO82" s="137">
        <f>IF($AD$9=1,CTheOptionFormula($Y$14,BS!$P$6,IF($AB$9=1,$T56,BS!$C$8),IF($AB$9=2,$T56,BS!$C$9),$G$49/365,BS!$P$17,BS!$P$18,AO$65)*$Y$30,"")</f>
        <v>6.9112176987928143E-3</v>
      </c>
    </row>
    <row r="83" spans="20:41">
      <c r="T83" s="152">
        <f t="shared" si="5"/>
        <v>4.7374999999999989</v>
      </c>
      <c r="U83" s="135">
        <f>IF($AD$9=1,CTheOptionFormula($Y$14,BS!$P$6,IF($AB$9=1,$T57,BS!$C$8),IF($AB$9=2,$T57,BS!$C$9),$G$49/365,BS!$P$17,BS!$P$18,U$65)*$Y$30,"")</f>
        <v>3.6131041436317994E-4</v>
      </c>
      <c r="V83" s="136">
        <f>IF($AD$9=1,CTheOptionFormula($Y$14,BS!$P$6,IF($AB$9=1,$T57,BS!$C$8),IF($AB$9=2,$T57,BS!$C$9),$G$49/365,BS!$P$17,BS!$P$18,V$65)*$Y$30,"")</f>
        <v>8.2589988738111743E-4</v>
      </c>
      <c r="W83" s="136">
        <f>IF($AD$9=1,CTheOptionFormula($Y$14,BS!$P$6,IF($AB$9=1,$T57,BS!$C$8),IF($AB$9=2,$T57,BS!$C$9),$G$49/365,BS!$P$17,BS!$P$18,W$65)*$Y$30,"")</f>
        <v>1.5033586138663512E-3</v>
      </c>
      <c r="X83" s="136">
        <f>IF($AD$9=1,CTheOptionFormula($Y$14,BS!$P$6,IF($AB$9=1,$T57,BS!$C$8),IF($AB$9=2,$T57,BS!$C$9),$G$49/365,BS!$P$17,BS!$P$18,X$65)*$Y$30,"")</f>
        <v>2.3359279652847942E-3</v>
      </c>
      <c r="Y83" s="136">
        <f>IF($AD$9=1,CTheOptionFormula($Y$14,BS!$P$6,IF($AB$9=1,$T57,BS!$C$8),IF($AB$9=2,$T57,BS!$C$9),$G$49/365,BS!$P$17,BS!$P$18,Y$65)*$Y$30,"")</f>
        <v>3.2417283303542667E-3</v>
      </c>
      <c r="Z83" s="136">
        <f>IF($AD$9=1,CTheOptionFormula($Y$14,BS!$P$6,IF($AB$9=1,$T57,BS!$C$8),IF($AB$9=2,$T57,BS!$C$9),$G$49/365,BS!$P$17,BS!$P$18,Z$65)*$Y$30,"")</f>
        <v>4.1423228166142132E-3</v>
      </c>
      <c r="AA83" s="136">
        <f>IF($AD$9=1,CTheOptionFormula($Y$14,BS!$P$6,IF($AB$9=1,$T57,BS!$C$8),IF($AB$9=2,$T57,BS!$C$9),$G$49/365,BS!$P$17,BS!$P$18,AA$65)*$Y$30,"")</f>
        <v>4.9775241232581013E-3</v>
      </c>
      <c r="AB83" s="136">
        <f>IF($AD$9=1,CTheOptionFormula($Y$14,BS!$P$6,IF($AB$9=1,$T57,BS!$C$8),IF($AB$9=2,$T57,BS!$C$9),$G$49/365,BS!$P$17,BS!$P$18,AB$65)*$Y$30,"")</f>
        <v>5.7090985737509679E-3</v>
      </c>
      <c r="AC83" s="136">
        <f>IF($AD$9=1,CTheOptionFormula($Y$14,BS!$P$6,IF($AB$9=1,$T57,BS!$C$8),IF($AB$9=2,$T57,BS!$C$9),$G$49/365,BS!$P$17,BS!$P$18,AC$65)*$Y$30,"")</f>
        <v>6.3182030057093745E-3</v>
      </c>
      <c r="AD83" s="136">
        <f>IF($AD$9=1,CTheOptionFormula($Y$14,BS!$P$6,IF($AB$9=1,$T57,BS!$C$8),IF($AB$9=2,$T57,BS!$C$9),$G$49/365,BS!$P$17,BS!$P$18,AD$65)*$Y$30,"")</f>
        <v>6.8005155667007922E-3</v>
      </c>
      <c r="AE83" s="136">
        <f>IF($AD$9=1,CTheOptionFormula($Y$14,BS!$P$6,IF($AB$9=1,$T57,BS!$C$8),IF($AB$9=2,$T57,BS!$C$9),$G$49/365,BS!$P$17,BS!$P$18,AE$65)*$Y$30,"")</f>
        <v>7.1613149358331065E-3</v>
      </c>
      <c r="AF83" s="136">
        <f>IF($AD$9=1,CTheOptionFormula($Y$14,BS!$P$6,IF($AB$9=1,$T57,BS!$C$8),IF($AB$9=2,$T57,BS!$C$9),$G$49/365,BS!$P$17,BS!$P$18,AF$65)*$Y$30,"")</f>
        <v>7.41145482512878E-3</v>
      </c>
      <c r="AG83" s="136">
        <f>IF($AD$9=1,CTheOptionFormula($Y$14,BS!$P$6,IF($AB$9=1,$T57,BS!$C$8),IF($AB$9=2,$T57,BS!$C$9),$G$49/365,BS!$P$17,BS!$P$18,AG$65)*$Y$30,"")</f>
        <v>7.5644414209480428E-3</v>
      </c>
      <c r="AH83" s="136">
        <f>IF($AD$9=1,CTheOptionFormula($Y$14,BS!$P$6,IF($AB$9=1,$T57,BS!$C$8),IF($AB$9=2,$T57,BS!$C$9),$G$49/365,BS!$P$17,BS!$P$18,AH$65)*$Y$30,"")</f>
        <v>7.6344910938184029E-3</v>
      </c>
      <c r="AI83" s="136">
        <f>IF($AD$9=1,CTheOptionFormula($Y$14,BS!$P$6,IF($AB$9=1,$T57,BS!$C$8),IF($AB$9=2,$T57,BS!$C$9),$G$49/365,BS!$P$17,BS!$P$18,AI$65)*$Y$30,"")</f>
        <v>7.6353436186510247E-3</v>
      </c>
      <c r="AJ83" s="136">
        <f>IF($AD$9=1,CTheOptionFormula($Y$14,BS!$P$6,IF($AB$9=1,$T57,BS!$C$8),IF($AB$9=2,$T57,BS!$C$9),$G$49/365,BS!$P$17,BS!$P$18,AJ$65)*$Y$30,"")</f>
        <v>7.5796095144541895E-3</v>
      </c>
      <c r="AK83" s="136">
        <f>IF($AD$9=1,CTheOptionFormula($Y$14,BS!$P$6,IF($AB$9=1,$T57,BS!$C$8),IF($AB$9=2,$T57,BS!$C$9),$G$49/365,BS!$P$17,BS!$P$18,AK$65)*$Y$30,"")</f>
        <v>7.4784713450262138E-3</v>
      </c>
      <c r="AL83" s="136">
        <f>IF($AD$9=1,CTheOptionFormula($Y$14,BS!$P$6,IF($AB$9=1,$T57,BS!$C$8),IF($AB$9=2,$T57,BS!$C$9),$G$49/365,BS!$P$17,BS!$P$18,AL$65)*$Y$30,"")</f>
        <v>7.341606086865112E-3</v>
      </c>
      <c r="AM83" s="136">
        <f>IF($AD$9=1,CTheOptionFormula($Y$14,BS!$P$6,IF($AB$9=1,$T57,BS!$C$8),IF($AB$9=2,$T57,BS!$C$9),$G$49/365,BS!$P$17,BS!$P$18,AM$65)*$Y$30,"")</f>
        <v>7.1772365443393835E-3</v>
      </c>
      <c r="AN83" s="136">
        <f>IF($AD$9=1,CTheOptionFormula($Y$14,BS!$P$6,IF($AB$9=1,$T57,BS!$C$8),IF($AB$9=2,$T57,BS!$C$9),$G$49/365,BS!$P$17,BS!$P$18,AN$65)*$Y$30,"")</f>
        <v>6.9922510997781039E-3</v>
      </c>
      <c r="AO83" s="137">
        <f>IF($AD$9=1,CTheOptionFormula($Y$14,BS!$P$6,IF($AB$9=1,$T57,BS!$C$8),IF($AB$9=2,$T57,BS!$C$9),$G$49/365,BS!$P$17,BS!$P$18,AO$65)*$Y$30,"")</f>
        <v>6.7923534549386832E-3</v>
      </c>
    </row>
    <row r="84" spans="20:41">
      <c r="T84" s="152">
        <f t="shared" si="5"/>
        <v>4.8249999999999993</v>
      </c>
      <c r="U84" s="135">
        <f>IF($AD$9=1,CTheOptionFormula($Y$14,BS!$P$6,IF($AB$9=1,$T58,BS!$C$8),IF($AB$9=2,$T58,BS!$C$9),$G$49/365,BS!$P$17,BS!$P$18,U$65)*$Y$30,"")</f>
        <v>1.5252032162058673E-4</v>
      </c>
      <c r="V84" s="136">
        <f>IF($AD$9=1,CTheOptionFormula($Y$14,BS!$P$6,IF($AB$9=1,$T58,BS!$C$8),IF($AB$9=2,$T58,BS!$C$9),$G$49/365,BS!$P$17,BS!$P$18,V$65)*$Y$30,"")</f>
        <v>4.095769304474046E-4</v>
      </c>
      <c r="W84" s="136">
        <f>IF($AD$9=1,CTheOptionFormula($Y$14,BS!$P$6,IF($AB$9=1,$T58,BS!$C$8),IF($AB$9=2,$T58,BS!$C$9),$G$49/365,BS!$P$17,BS!$P$18,W$65)*$Y$30,"")</f>
        <v>8.4276120926636566E-4</v>
      </c>
      <c r="X84" s="136">
        <f>IF($AD$9=1,CTheOptionFormula($Y$14,BS!$P$6,IF($AB$9=1,$T58,BS!$C$8),IF($AB$9=2,$T58,BS!$C$9),$G$49/365,BS!$P$17,BS!$P$18,X$65)*$Y$30,"")</f>
        <v>1.4406323497959095E-3</v>
      </c>
      <c r="Y84" s="136">
        <f>IF($AD$9=1,CTheOptionFormula($Y$14,BS!$P$6,IF($AB$9=1,$T58,BS!$C$8),IF($AB$9=2,$T58,BS!$C$9),$G$49/365,BS!$P$17,BS!$P$18,Y$65)*$Y$30,"")</f>
        <v>2.1566751280394235E-3</v>
      </c>
      <c r="Z84" s="136">
        <f>IF($AD$9=1,CTheOptionFormula($Y$14,BS!$P$6,IF($AB$9=1,$T58,BS!$C$8),IF($AB$9=2,$T58,BS!$C$9),$G$49/365,BS!$P$17,BS!$P$18,Z$65)*$Y$30,"")</f>
        <v>2.9297446654124155E-3</v>
      </c>
      <c r="AA84" s="136">
        <f>IF($AD$9=1,CTheOptionFormula($Y$14,BS!$P$6,IF($AB$9=1,$T58,BS!$C$8),IF($AB$9=2,$T58,BS!$C$9),$G$49/365,BS!$P$17,BS!$P$18,AA$65)*$Y$30,"")</f>
        <v>3.7014812549492891E-3</v>
      </c>
      <c r="AB84" s="136">
        <f>IF($AD$9=1,CTheOptionFormula($Y$14,BS!$P$6,IF($AB$9=1,$T58,BS!$C$8),IF($AB$9=2,$T58,BS!$C$9),$G$49/365,BS!$P$17,BS!$P$18,AB$65)*$Y$30,"")</f>
        <v>4.4259065365627433E-3</v>
      </c>
      <c r="AC84" s="136">
        <f>IF($AD$9=1,CTheOptionFormula($Y$14,BS!$P$6,IF($AB$9=1,$T58,BS!$C$8),IF($AB$9=2,$T58,BS!$C$9),$G$49/365,BS!$P$17,BS!$P$18,AC$65)*$Y$30,"")</f>
        <v>5.0722237959035625E-3</v>
      </c>
      <c r="AD84" s="136">
        <f>IF($AD$9=1,CTheOptionFormula($Y$14,BS!$P$6,IF($AB$9=1,$T58,BS!$C$8),IF($AB$9=2,$T58,BS!$C$9),$G$49/365,BS!$P$17,BS!$P$18,AD$65)*$Y$30,"")</f>
        <v>5.6235522308870876E-3</v>
      </c>
      <c r="AE84" s="136">
        <f>IF($AD$9=1,CTheOptionFormula($Y$14,BS!$P$6,IF($AB$9=1,$T58,BS!$C$8),IF($AB$9=2,$T58,BS!$C$9),$G$49/365,BS!$P$17,BS!$P$18,AE$65)*$Y$30,"")</f>
        <v>6.073943854023686E-3</v>
      </c>
      <c r="AF84" s="136">
        <f>IF($AD$9=1,CTheOptionFormula($Y$14,BS!$P$6,IF($AB$9=1,$T58,BS!$C$8),IF($AB$9=2,$T58,BS!$C$9),$G$49/365,BS!$P$17,BS!$P$18,AF$65)*$Y$30,"")</f>
        <v>6.4251311602227332E-3</v>
      </c>
      <c r="AG84" s="136">
        <f>IF($AD$9=1,CTheOptionFormula($Y$14,BS!$P$6,IF($AB$9=1,$T58,BS!$C$8),IF($AB$9=2,$T58,BS!$C$9),$G$49/365,BS!$P$17,BS!$P$18,AG$65)*$Y$30,"")</f>
        <v>6.683699272451135E-3</v>
      </c>
      <c r="AH84" s="136">
        <f>IF($AD$9=1,CTheOptionFormula($Y$14,BS!$P$6,IF($AB$9=1,$T58,BS!$C$8),IF($AB$9=2,$T58,BS!$C$9),$G$49/365,BS!$P$17,BS!$P$18,AH$65)*$Y$30,"")</f>
        <v>6.858907028154896E-3</v>
      </c>
      <c r="AI84" s="136">
        <f>IF($AD$9=1,CTheOptionFormula($Y$14,BS!$P$6,IF($AB$9=1,$T58,BS!$C$8),IF($AB$9=2,$T58,BS!$C$9),$G$49/365,BS!$P$17,BS!$P$18,AI$65)*$Y$30,"")</f>
        <v>6.9611429678146739E-3</v>
      </c>
      <c r="AJ84" s="136">
        <f>IF($AD$9=1,CTheOptionFormula($Y$14,BS!$P$6,IF($AB$9=1,$T58,BS!$C$8),IF($AB$9=2,$T58,BS!$C$9),$G$49/365,BS!$P$17,BS!$P$18,AJ$65)*$Y$30,"")</f>
        <v>7.000907003142787E-3</v>
      </c>
      <c r="AK84" s="136">
        <f>IF($AD$9=1,CTheOptionFormula($Y$14,BS!$P$6,IF($AB$9=1,$T58,BS!$C$8),IF($AB$9=2,$T58,BS!$C$9),$G$49/365,BS!$P$17,BS!$P$18,AK$65)*$Y$30,"")</f>
        <v>6.9881885347387648E-3</v>
      </c>
      <c r="AL84" s="136">
        <f>IF($AD$9=1,CTheOptionFormula($Y$14,BS!$P$6,IF($AB$9=1,$T58,BS!$C$8),IF($AB$9=2,$T58,BS!$C$9),$G$49/365,BS!$P$17,BS!$P$18,AL$65)*$Y$30,"")</f>
        <v>6.9321249136697514E-3</v>
      </c>
      <c r="AM84" s="136">
        <f>IF($AD$9=1,CTheOptionFormula($Y$14,BS!$P$6,IF($AB$9=1,$T58,BS!$C$8),IF($AB$9=2,$T58,BS!$C$9),$G$49/365,BS!$P$17,BS!$P$18,AM$65)*$Y$30,"")</f>
        <v>6.8408479519171421E-3</v>
      </c>
      <c r="AN84" s="136">
        <f>IF($AD$9=1,CTheOptionFormula($Y$14,BS!$P$6,IF($AB$9=1,$T58,BS!$C$8),IF($AB$9=2,$T58,BS!$C$9),$G$49/365,BS!$P$17,BS!$P$18,AN$65)*$Y$30,"")</f>
        <v>6.7214502178656009E-3</v>
      </c>
      <c r="AO84" s="137">
        <f>IF($AD$9=1,CTheOptionFormula($Y$14,BS!$P$6,IF($AB$9=1,$T58,BS!$C$8),IF($AB$9=2,$T58,BS!$C$9),$G$49/365,BS!$P$17,BS!$P$18,AO$65)*$Y$30,"")</f>
        <v>6.5800231003960673E-3</v>
      </c>
    </row>
    <row r="85" spans="20:41">
      <c r="T85" s="152">
        <f t="shared" si="5"/>
        <v>4.9124999999999996</v>
      </c>
      <c r="U85" s="135">
        <f>IF($AD$9=1,CTheOptionFormula($Y$14,BS!$P$6,IF($AB$9=1,$T59,BS!$C$8),IF($AB$9=2,$T59,BS!$C$9),$G$49/365,BS!$P$17,BS!$P$18,U$65)*$Y$30,"")</f>
        <v>6.0903639993179278E-5</v>
      </c>
      <c r="V85" s="136">
        <f>IF($AD$9=1,CTheOptionFormula($Y$14,BS!$P$6,IF($AB$9=1,$T59,BS!$C$8),IF($AB$9=2,$T59,BS!$C$9),$G$49/365,BS!$P$17,BS!$P$18,V$65)*$Y$30,"")</f>
        <v>1.9378835185249874E-4</v>
      </c>
      <c r="W85" s="136">
        <f>IF($AD$9=1,CTheOptionFormula($Y$14,BS!$P$6,IF($AB$9=1,$T59,BS!$C$8),IF($AB$9=2,$T59,BS!$C$9),$G$49/365,BS!$P$17,BS!$P$18,W$65)*$Y$30,"")</f>
        <v>4.5368388194248538E-4</v>
      </c>
      <c r="X85" s="136">
        <f>IF($AD$9=1,CTheOptionFormula($Y$14,BS!$P$6,IF($AB$9=1,$T59,BS!$C$8),IF($AB$9=2,$T59,BS!$C$9),$G$49/365,BS!$P$17,BS!$P$18,X$65)*$Y$30,"")</f>
        <v>8.5752550155611211E-4</v>
      </c>
      <c r="Y85" s="136">
        <f>IF($AD$9=1,CTheOptionFormula($Y$14,BS!$P$6,IF($AB$9=1,$T59,BS!$C$8),IF($AB$9=2,$T59,BS!$C$9),$G$49/365,BS!$P$17,BS!$P$18,Y$65)*$Y$30,"")</f>
        <v>1.3903680582342962E-3</v>
      </c>
      <c r="Z85" s="136">
        <f>IF($AD$9=1,CTheOptionFormula($Y$14,BS!$P$6,IF($AB$9=1,$T59,BS!$C$8),IF($AB$9=2,$T59,BS!$C$9),$G$49/365,BS!$P$17,BS!$P$18,Z$65)*$Y$30,"")</f>
        <v>2.014420224735072E-3</v>
      </c>
      <c r="AA85" s="136">
        <f>IF($AD$9=1,CTheOptionFormula($Y$14,BS!$P$6,IF($AB$9=1,$T59,BS!$C$8),IF($AB$9=2,$T59,BS!$C$9),$G$49/365,BS!$P$17,BS!$P$18,AA$65)*$Y$30,"")</f>
        <v>2.68294829873019E-3</v>
      </c>
      <c r="AB85" s="136">
        <f>IF($AD$9=1,CTheOptionFormula($Y$14,BS!$P$6,IF($AB$9=1,$T59,BS!$C$8),IF($AB$9=2,$T59,BS!$C$9),$G$49/365,BS!$P$17,BS!$P$18,AB$65)*$Y$30,"")</f>
        <v>3.3516035484014695E-3</v>
      </c>
      <c r="AC85" s="136">
        <f>IF($AD$9=1,CTheOptionFormula($Y$14,BS!$P$6,IF($AB$9=1,$T59,BS!$C$8),IF($AB$9=2,$T59,BS!$C$9),$G$49/365,BS!$P$17,BS!$P$18,AC$65)*$Y$30,"")</f>
        <v>3.9847750217632209E-3</v>
      </c>
      <c r="AD85" s="136">
        <f>IF($AD$9=1,CTheOptionFormula($Y$14,BS!$P$6,IF($AB$9=1,$T59,BS!$C$8),IF($AB$9=2,$T59,BS!$C$9),$G$49/365,BS!$P$17,BS!$P$18,AD$65)*$Y$30,"")</f>
        <v>4.5576453492007646E-3</v>
      </c>
      <c r="AE85" s="136">
        <f>IF($AD$9=1,CTheOptionFormula($Y$14,BS!$P$6,IF($AB$9=1,$T59,BS!$C$8),IF($AB$9=2,$T59,BS!$C$9),$G$49/365,BS!$P$17,BS!$P$18,AE$65)*$Y$30,"")</f>
        <v>5.0555624626916719E-3</v>
      </c>
      <c r="AF85" s="136">
        <f>IF($AD$9=1,CTheOptionFormula($Y$14,BS!$P$6,IF($AB$9=1,$T59,BS!$C$8),IF($AB$9=2,$T59,BS!$C$9),$G$49/365,BS!$P$17,BS!$P$18,AF$65)*$Y$30,"")</f>
        <v>5.4721618764917721E-3</v>
      </c>
      <c r="AG85" s="136">
        <f>IF($AD$9=1,CTheOptionFormula($Y$14,BS!$P$6,IF($AB$9=1,$T59,BS!$C$8),IF($AB$9=2,$T59,BS!$C$9),$G$49/365,BS!$P$17,BS!$P$18,AG$65)*$Y$30,"")</f>
        <v>5.8071795390485159E-3</v>
      </c>
      <c r="AH85" s="136">
        <f>IF($AD$9=1,CTheOptionFormula($Y$14,BS!$P$6,IF($AB$9=1,$T59,BS!$C$8),IF($AB$9=2,$T59,BS!$C$9),$G$49/365,BS!$P$17,BS!$P$18,AH$65)*$Y$30,"")</f>
        <v>6.0644502246650443E-3</v>
      </c>
      <c r="AI85" s="136">
        <f>IF($AD$9=1,CTheOptionFormula($Y$14,BS!$P$6,IF($AB$9=1,$T59,BS!$C$8),IF($AB$9=2,$T59,BS!$C$9),$G$49/365,BS!$P$17,BS!$P$18,AI$65)*$Y$30,"")</f>
        <v>6.2502879272935815E-3</v>
      </c>
      <c r="AJ85" s="136">
        <f>IF($AD$9=1,CTheOptionFormula($Y$14,BS!$P$6,IF($AB$9=1,$T59,BS!$C$8),IF($AB$9=2,$T59,BS!$C$9),$G$49/365,BS!$P$17,BS!$P$18,AJ$65)*$Y$30,"")</f>
        <v>6.3722779412518551E-3</v>
      </c>
      <c r="AK85" s="136">
        <f>IF($AD$9=1,CTheOptionFormula($Y$14,BS!$P$6,IF($AB$9=1,$T59,BS!$C$8),IF($AB$9=2,$T59,BS!$C$9),$G$49/365,BS!$P$17,BS!$P$18,AK$65)*$Y$30,"")</f>
        <v>6.4384328573466546E-3</v>
      </c>
      <c r="AL85" s="136">
        <f>IF($AD$9=1,CTheOptionFormula($Y$14,BS!$P$6,IF($AB$9=1,$T59,BS!$C$8),IF($AB$9=2,$T59,BS!$C$9),$G$49/365,BS!$P$17,BS!$P$18,AL$65)*$Y$30,"")</f>
        <v>6.456638809162106E-3</v>
      </c>
      <c r="AM85" s="136">
        <f>IF($AD$9=1,CTheOptionFormula($Y$14,BS!$P$6,IF($AB$9=1,$T59,BS!$C$8),IF($AB$9=2,$T59,BS!$C$9),$G$49/365,BS!$P$17,BS!$P$18,AM$65)*$Y$30,"")</f>
        <v>6.4343182780396179E-3</v>
      </c>
      <c r="AN85" s="136">
        <f>IF($AD$9=1,CTheOptionFormula($Y$14,BS!$P$6,IF($AB$9=1,$T59,BS!$C$8),IF($AB$9=2,$T59,BS!$C$9),$G$49/365,BS!$P$17,BS!$P$18,AN$65)*$Y$30,"")</f>
        <v>6.3782464870720187E-3</v>
      </c>
      <c r="AO85" s="137">
        <f>IF($AD$9=1,CTheOptionFormula($Y$14,BS!$P$6,IF($AB$9=1,$T59,BS!$C$8),IF($AB$9=2,$T59,BS!$C$9),$G$49/365,BS!$P$17,BS!$P$18,AO$65)*$Y$30,"")</f>
        <v>6.2944719548585814E-3</v>
      </c>
    </row>
    <row r="86" spans="20:41">
      <c r="T86" s="155">
        <f t="shared" si="5"/>
        <v>5</v>
      </c>
      <c r="U86" s="146">
        <f>IF($AD$9=1,CTheOptionFormula($Y$14,BS!$P$6,IF($AB$9=1,$T60,BS!$C$8),IF($AB$9=2,$T60,BS!$C$9),$G$49/365,BS!$P$17,BS!$P$18,U$65)*$Y$30,"")</f>
        <v>2.3093187942426942E-5</v>
      </c>
      <c r="V86" s="147">
        <f>IF($AD$9=1,CTheOptionFormula($Y$14,BS!$P$6,IF($AB$9=1,$T60,BS!$C$8),IF($AB$9=2,$T60,BS!$C$9),$G$49/365,BS!$P$17,BS!$P$18,V$65)*$Y$30,"")</f>
        <v>8.7769590449592884E-5</v>
      </c>
      <c r="W86" s="147">
        <f>IF($AD$9=1,CTheOptionFormula($Y$14,BS!$P$6,IF($AB$9=1,$T60,BS!$C$8),IF($AB$9=2,$T60,BS!$C$9),$G$49/365,BS!$P$17,BS!$P$18,W$65)*$Y$30,"")</f>
        <v>2.3522585354343817E-4</v>
      </c>
      <c r="X86" s="147">
        <f>IF($AD$9=1,CTheOptionFormula($Y$14,BS!$P$6,IF($AB$9=1,$T60,BS!$C$8),IF($AB$9=2,$T60,BS!$C$9),$G$49/365,BS!$P$17,BS!$P$18,X$65)*$Y$30,"")</f>
        <v>4.9395812921184355E-4</v>
      </c>
      <c r="Y86" s="147">
        <f>IF($AD$9=1,CTheOptionFormula($Y$14,BS!$P$6,IF($AB$9=1,$T60,BS!$C$8),IF($AB$9=2,$T60,BS!$C$9),$G$49/365,BS!$P$17,BS!$P$18,Y$65)*$Y$30,"")</f>
        <v>8.7068449002323373E-4</v>
      </c>
      <c r="Z86" s="147">
        <f>IF($AD$9=1,CTheOptionFormula($Y$14,BS!$P$6,IF($AB$9=1,$T60,BS!$C$8),IF($AB$9=2,$T60,BS!$C$9),$G$49/365,BS!$P$17,BS!$P$18,Z$65)*$Y$30,"")</f>
        <v>1.3495033081181264E-3</v>
      </c>
      <c r="AA86" s="147">
        <f>IF($AD$9=1,CTheOptionFormula($Y$14,BS!$P$6,IF($AB$9=1,$T60,BS!$C$8),IF($AB$9=2,$T60,BS!$C$9),$G$49/365,BS!$P$17,BS!$P$18,AA$65)*$Y$30,"")</f>
        <v>1.8994509923801403E-3</v>
      </c>
      <c r="AB86" s="147">
        <f>IF($AD$9=1,CTheOptionFormula($Y$14,BS!$P$6,IF($AB$9=1,$T60,BS!$C$8),IF($AB$9=2,$T60,BS!$C$9),$G$49/365,BS!$P$17,BS!$P$18,AB$65)*$Y$30,"")</f>
        <v>2.4841078283690411E-3</v>
      </c>
      <c r="AC86" s="147">
        <f>IF($AD$9=1,CTheOptionFormula($Y$14,BS!$P$6,IF($AB$9=1,$T60,BS!$C$8),IF($AB$9=2,$T60,BS!$C$9),$G$49/365,BS!$P$17,BS!$P$18,AC$65)*$Y$30,"")</f>
        <v>3.0691495314834859E-3</v>
      </c>
      <c r="AD86" s="147">
        <f>IF($AD$9=1,CTheOptionFormula($Y$14,BS!$P$6,IF($AB$9=1,$T60,BS!$C$8),IF($AB$9=2,$T60,BS!$C$9),$G$49/365,BS!$P$17,BS!$P$18,AD$65)*$Y$30,"")</f>
        <v>3.626632778365382E-3</v>
      </c>
      <c r="AE86" s="147">
        <f>IF($AD$9=1,CTheOptionFormula($Y$14,BS!$P$6,IF($AB$9=1,$T60,BS!$C$8),IF($AB$9=2,$T60,BS!$C$9),$G$49/365,BS!$P$17,BS!$P$18,AE$65)*$Y$30,"")</f>
        <v>4.1364848833778008E-3</v>
      </c>
      <c r="AF86" s="147">
        <f>IF($AD$9=1,CTheOptionFormula($Y$14,BS!$P$6,IF($AB$9=1,$T60,BS!$C$8),IF($AB$9=2,$T60,BS!$C$9),$G$49/365,BS!$P$17,BS!$P$18,AF$65)*$Y$30,"")</f>
        <v>4.5861899815066677E-3</v>
      </c>
      <c r="AG86" s="147">
        <f>IF($AD$9=1,CTheOptionFormula($Y$14,BS!$P$6,IF($AB$9=1,$T60,BS!$C$8),IF($AB$9=2,$T60,BS!$C$9),$G$49/365,BS!$P$17,BS!$P$18,AG$65)*$Y$30,"")</f>
        <v>4.9695731881905401E-3</v>
      </c>
      <c r="AH86" s="147">
        <f>IF($AD$9=1,CTheOptionFormula($Y$14,BS!$P$6,IF($AB$9=1,$T60,BS!$C$8),IF($AB$9=2,$T60,BS!$C$9),$G$49/365,BS!$P$17,BS!$P$18,AH$65)*$Y$30,"")</f>
        <v>5.2853016191675359E-3</v>
      </c>
      <c r="AI86" s="147">
        <f>IF($AD$9=1,CTheOptionFormula($Y$14,BS!$P$6,IF($AB$9=1,$T60,BS!$C$8),IF($AB$9=2,$T60,BS!$C$9),$G$49/365,BS!$P$17,BS!$P$18,AI$65)*$Y$30,"")</f>
        <v>5.5354522182369161E-3</v>
      </c>
      <c r="AJ86" s="147">
        <f>IF($AD$9=1,CTheOptionFormula($Y$14,BS!$P$6,IF($AB$9=1,$T60,BS!$C$8),IF($AB$9=2,$T60,BS!$C$9),$G$49/365,BS!$P$17,BS!$P$18,AJ$65)*$Y$30,"")</f>
        <v>5.7243047307072139E-3</v>
      </c>
      <c r="AK86" s="147">
        <f>IF($AD$9=1,CTheOptionFormula($Y$14,BS!$P$6,IF($AB$9=1,$T60,BS!$C$8),IF($AB$9=2,$T60,BS!$C$9),$G$49/365,BS!$P$17,BS!$P$18,AK$65)*$Y$30,"")</f>
        <v>5.8574029869926771E-3</v>
      </c>
      <c r="AL86" s="147">
        <f>IF($AD$9=1,CTheOptionFormula($Y$14,BS!$P$6,IF($AB$9=1,$T60,BS!$C$8),IF($AB$9=2,$T60,BS!$C$9),$G$49/365,BS!$P$17,BS!$P$18,AL$65)*$Y$30,"")</f>
        <v>5.9408682939142586E-3</v>
      </c>
      <c r="AM86" s="147">
        <f>IF($AD$9=1,CTheOptionFormula($Y$14,BS!$P$6,IF($AB$9=1,$T60,BS!$C$8),IF($AB$9=2,$T60,BS!$C$9),$G$49/365,BS!$P$17,BS!$P$18,AM$65)*$Y$30,"")</f>
        <v>5.9809241343124911E-3</v>
      </c>
      <c r="AN86" s="147">
        <f>IF($AD$9=1,CTheOptionFormula($Y$14,BS!$P$6,IF($AB$9=1,$T60,BS!$C$8),IF($AB$9=2,$T60,BS!$C$9),$G$49/365,BS!$P$17,BS!$P$18,AN$65)*$Y$30,"")</f>
        <v>5.9835859277941753E-3</v>
      </c>
      <c r="AO86" s="148">
        <f>IF($AD$9=1,CTheOptionFormula($Y$14,BS!$P$6,IF($AB$9=1,$T60,BS!$C$8),IF($AB$9=2,$T60,BS!$C$9),$G$49/365,BS!$P$17,BS!$P$18,AO$65)*$Y$30,"")</f>
        <v>5.9544733475221942E-3</v>
      </c>
    </row>
  </sheetData>
  <mergeCells count="1">
    <mergeCell ref="B2:O2"/>
  </mergeCells>
  <pageMargins left="0.75" right="0.75" top="1" bottom="1" header="0.5" footer="0.5"/>
  <pageSetup paperSize="0"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1</xdr:col>
                    <xdr:colOff>619125</xdr:colOff>
                    <xdr:row>6</xdr:row>
                    <xdr:rowOff>47625</xdr:rowOff>
                  </from>
                  <to>
                    <xdr:col>4</xdr:col>
                    <xdr:colOff>200025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</xdr:col>
                    <xdr:colOff>619125</xdr:colOff>
                    <xdr:row>8</xdr:row>
                    <xdr:rowOff>9525</xdr:rowOff>
                  </from>
                  <to>
                    <xdr:col>3</xdr:col>
                    <xdr:colOff>209550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152400</xdr:rowOff>
                  </from>
                  <to>
                    <xdr:col>6</xdr:col>
                    <xdr:colOff>704850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1</xdr:col>
                    <xdr:colOff>657225</xdr:colOff>
                    <xdr:row>4</xdr:row>
                    <xdr:rowOff>85725</xdr:rowOff>
                  </from>
                  <to>
                    <xdr:col>2</xdr:col>
                    <xdr:colOff>571500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3</xdr:col>
                    <xdr:colOff>628650</xdr:colOff>
                    <xdr:row>8</xdr:row>
                    <xdr:rowOff>38100</xdr:rowOff>
                  </from>
                  <to>
                    <xdr:col>5</xdr:col>
                    <xdr:colOff>66675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6</xdr:col>
                    <xdr:colOff>19050</xdr:colOff>
                    <xdr:row>5</xdr:row>
                    <xdr:rowOff>133350</xdr:rowOff>
                  </from>
                  <to>
                    <xdr:col>7</xdr:col>
                    <xdr:colOff>466725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9</xdr:col>
                    <xdr:colOff>171450</xdr:colOff>
                    <xdr:row>8</xdr:row>
                    <xdr:rowOff>47625</xdr:rowOff>
                  </from>
                  <to>
                    <xdr:col>10</xdr:col>
                    <xdr:colOff>285750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BS</vt:lpstr>
      <vt:lpstr>Graphic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Ozpeynirci</dc:creator>
  <cp:lastModifiedBy>Emrah Ozpeynirci</cp:lastModifiedBy>
  <dcterms:created xsi:type="dcterms:W3CDTF">2018-01-26T15:13:00Z</dcterms:created>
  <dcterms:modified xsi:type="dcterms:W3CDTF">2018-01-26T15:52:27Z</dcterms:modified>
</cp:coreProperties>
</file>